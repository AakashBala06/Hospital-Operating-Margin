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ce6c3bfe2b236b/Documentos/"/>
    </mc:Choice>
  </mc:AlternateContent>
  <xr:revisionPtr revIDLastSave="0" documentId="8_{8A2E77BF-CD09-584C-B89E-C91ABF12DCAA}" xr6:coauthVersionLast="47" xr6:coauthVersionMax="47" xr10:uidLastSave="{00000000-0000-0000-0000-000000000000}"/>
  <bookViews>
    <workbookView xWindow="0" yWindow="0" windowWidth="28800" windowHeight="18000" activeTab="3" xr2:uid="{C93C60AC-EE1B-8D45-848E-DA2CBE114833}"/>
  </bookViews>
  <sheets>
    <sheet name="Raw Data" sheetId="1" r:id="rId1"/>
    <sheet name="Cost Assumptions" sheetId="2" r:id="rId2"/>
    <sheet name="Payer Mix Summary Table" sheetId="5" r:id="rId3"/>
    <sheet name="Margin Model" sheetId="4" r:id="rId4"/>
  </sheets>
  <definedNames>
    <definedName name="_xlnm._FilterDatabase" localSheetId="3" hidden="1">'Margin Model'!$A$1:$I$1</definedName>
    <definedName name="_xlnm._FilterDatabase" localSheetId="0" hidden="1">'Raw Data'!$A$1:$A$601</definedName>
  </definedNames>
  <calcPr calcId="18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4" l="1"/>
  <c r="C2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" i="4"/>
  <c r="G26" i="4" s="1"/>
  <c r="F3" i="4"/>
  <c r="H3" i="4" s="1"/>
  <c r="I3" i="4" s="1"/>
  <c r="F4" i="4"/>
  <c r="H4" i="4" s="1"/>
  <c r="I4" i="4" s="1"/>
  <c r="F5" i="4"/>
  <c r="H5" i="4" s="1"/>
  <c r="I5" i="4" s="1"/>
  <c r="F6" i="4"/>
  <c r="H6" i="4" s="1"/>
  <c r="I6" i="4" s="1"/>
  <c r="F7" i="4"/>
  <c r="H7" i="4" s="1"/>
  <c r="I7" i="4" s="1"/>
  <c r="F8" i="4"/>
  <c r="H8" i="4" s="1"/>
  <c r="I8" i="4" s="1"/>
  <c r="F9" i="4"/>
  <c r="H9" i="4" s="1"/>
  <c r="I9" i="4" s="1"/>
  <c r="F10" i="4"/>
  <c r="H10" i="4" s="1"/>
  <c r="I10" i="4" s="1"/>
  <c r="F11" i="4"/>
  <c r="H11" i="4" s="1"/>
  <c r="I11" i="4" s="1"/>
  <c r="F12" i="4"/>
  <c r="H12" i="4" s="1"/>
  <c r="I12" i="4" s="1"/>
  <c r="F13" i="4"/>
  <c r="H13" i="4" s="1"/>
  <c r="I13" i="4" s="1"/>
  <c r="F14" i="4"/>
  <c r="H14" i="4" s="1"/>
  <c r="I14" i="4" s="1"/>
  <c r="F15" i="4"/>
  <c r="H15" i="4" s="1"/>
  <c r="F16" i="4"/>
  <c r="H16" i="4" s="1"/>
  <c r="I16" i="4" s="1"/>
  <c r="F17" i="4"/>
  <c r="H17" i="4" s="1"/>
  <c r="I17" i="4" s="1"/>
  <c r="F18" i="4"/>
  <c r="H18" i="4" s="1"/>
  <c r="I18" i="4" s="1"/>
  <c r="F19" i="4"/>
  <c r="H19" i="4" s="1"/>
  <c r="I19" i="4" s="1"/>
  <c r="F20" i="4"/>
  <c r="H20" i="4" s="1"/>
  <c r="I20" i="4" s="1"/>
  <c r="F21" i="4"/>
  <c r="H21" i="4" s="1"/>
  <c r="I21" i="4" s="1"/>
  <c r="F22" i="4"/>
  <c r="H22" i="4" s="1"/>
  <c r="I22" i="4" s="1"/>
  <c r="F23" i="4"/>
  <c r="H23" i="4" s="1"/>
  <c r="I23" i="4" s="1"/>
  <c r="F24" i="4"/>
  <c r="H24" i="4" s="1"/>
  <c r="I24" i="4" s="1"/>
  <c r="F25" i="4"/>
  <c r="H25" i="4" s="1"/>
  <c r="I25" i="4" s="1"/>
  <c r="F2" i="4"/>
  <c r="H2" i="4" s="1"/>
  <c r="I2" i="4" s="1"/>
  <c r="E32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4" i="5"/>
  <c r="I15" i="4" l="1"/>
  <c r="H26" i="4"/>
</calcChain>
</file>

<file path=xl/sharedStrings.xml><?xml version="1.0" encoding="utf-8"?>
<sst xmlns="http://schemas.openxmlformats.org/spreadsheetml/2006/main" count="1306" uniqueCount="29">
  <si>
    <t>Department</t>
  </si>
  <si>
    <t>Payer Type</t>
  </si>
  <si>
    <t>Charges</t>
  </si>
  <si>
    <t>Reimbursement</t>
  </si>
  <si>
    <t>Contractual Allowance</t>
  </si>
  <si>
    <t>Reimbursement Rate (%)</t>
  </si>
  <si>
    <t>Emergency</t>
  </si>
  <si>
    <t>Medicaid</t>
  </si>
  <si>
    <t>Medicare</t>
  </si>
  <si>
    <t>Private Insurance</t>
  </si>
  <si>
    <t>Self-Pay</t>
  </si>
  <si>
    <t>Cardiology</t>
  </si>
  <si>
    <t>Orthopedics</t>
  </si>
  <si>
    <t>Oncology</t>
  </si>
  <si>
    <t>Pediatrics</t>
  </si>
  <si>
    <t>General Surgery</t>
  </si>
  <si>
    <t>Cost per Encounter</t>
  </si>
  <si>
    <t>Row Labels</t>
  </si>
  <si>
    <t>Grand Total</t>
  </si>
  <si>
    <t>Avg Charge</t>
  </si>
  <si>
    <t>Avg Reimb</t>
  </si>
  <si>
    <t>Encounter Count</t>
  </si>
  <si>
    <t>Reimb Rate (%)</t>
  </si>
  <si>
    <t>Encounters</t>
  </si>
  <si>
    <t>Cost/Encounter</t>
  </si>
  <si>
    <t>Net Revenue</t>
  </si>
  <si>
    <t>Operating Cost</t>
  </si>
  <si>
    <t>Operating margin 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</si>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</sst>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"/>
    <numFmt numFmtId="169" formatCode="&quot;$&quot;#,##0.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1" fillId="2" borderId="1" xfId="0" applyFont="1" applyFill="1" applyBorder="1" applyAlignment="1"/>
    <xf numFmtId="10" fontId="2" fillId="3" borderId="0" xfId="0" applyNumberFormat="1" applyFont="1" applyFill="1"/>
    <xf numFmtId="168" fontId="0" fillId="0" borderId="0" xfId="0" applyNumberFormat="1"/>
    <xf numFmtId="169" fontId="1" fillId="0" borderId="0" xfId="0" applyNumberFormat="1" applyFont="1"/>
    <xf numFmtId="169" fontId="0" fillId="0" borderId="0" xfId="0" applyNumberFormat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169" fontId="0" fillId="3" borderId="0" xfId="0" applyNumberFormat="1" applyFill="1"/>
    <xf numFmtId="169" fontId="3" fillId="3" borderId="0" xfId="0" applyNumberFormat="1" applyFont="1" applyFill="1"/>
    <xf numFmtId="168" fontId="0" fillId="3" borderId="0" xfId="0" applyNumberFormat="1" applyFill="1"/>
    <xf numFmtId="169" fontId="1" fillId="3" borderId="0" xfId="0" applyNumberFormat="1" applyFont="1" applyFill="1"/>
    <xf numFmtId="169" fontId="2" fillId="3" borderId="0" xfId="0" applyNumberFormat="1" applyFont="1" applyFill="1"/>
    <xf numFmtId="168" fontId="2" fillId="3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ash Balamurugan" refreshedDate="45852.845685416665" createdVersion="8" refreshedVersion="8" minRefreshableVersion="3" recordCount="600" xr:uid="{825F7D43-0443-844A-A301-94FB2494B19C}">
  <cacheSource type="worksheet">
    <worksheetSource ref="A1:F601" sheet="Raw Data"/>
  </cacheSource>
  <cacheFields count="6">
    <cacheField name="Department" numFmtId="0">
      <sharedItems count="6">
        <s v="Emergency"/>
        <s v="Cardiology"/>
        <s v="Orthopedics"/>
        <s v="Oncology"/>
        <s v="Pediatrics"/>
        <s v="General Surgery"/>
      </sharedItems>
    </cacheField>
    <cacheField name="Payer Type" numFmtId="0">
      <sharedItems count="4">
        <s v="Medicaid"/>
        <s v="Medicare"/>
        <s v="Private Insurance"/>
        <s v="Self-Pay"/>
      </sharedItems>
    </cacheField>
    <cacheField name="Charges" numFmtId="0">
      <sharedItems containsSemiMixedTypes="0" containsString="0" containsNumber="1" minValue="1000" maxValue="18895.03"/>
    </cacheField>
    <cacheField name="Reimbursement" numFmtId="0">
      <sharedItems containsSemiMixedTypes="0" containsString="0" containsNumber="1" minValue="759.45" maxValue="16060.78"/>
    </cacheField>
    <cacheField name="Contractual Allowance" numFmtId="0">
      <sharedItems containsSemiMixedTypes="0" containsString="0" containsNumber="1" minValue="150" maxValue="12696.879999999899"/>
    </cacheField>
    <cacheField name="Reimbursement Rate (%)" numFmtId="0">
      <sharedItems containsSemiMixedTypes="0" containsString="0" containsNumber="1" containsInteger="1" minValue="25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n v="6664.36"/>
    <n v="3665.4"/>
    <n v="2998.95999999999"/>
    <n v="55"/>
  </r>
  <r>
    <x v="0"/>
    <x v="1"/>
    <n v="10956.71"/>
    <n v="7121.86"/>
    <n v="3834.8499999999899"/>
    <n v="65"/>
  </r>
  <r>
    <x v="0"/>
    <x v="1"/>
    <n v="10837.12"/>
    <n v="7044.13"/>
    <n v="3792.99"/>
    <n v="65"/>
  </r>
  <r>
    <x v="0"/>
    <x v="2"/>
    <n v="13031.55"/>
    <n v="11076.82"/>
    <n v="1954.72999999999"/>
    <n v="85"/>
  </r>
  <r>
    <x v="0"/>
    <x v="1"/>
    <n v="8257.3700000000008"/>
    <n v="5367.29"/>
    <n v="2890.08"/>
    <n v="65"/>
  </r>
  <r>
    <x v="0"/>
    <x v="1"/>
    <n v="8424.49"/>
    <n v="5475.92"/>
    <n v="2948.5699999999902"/>
    <n v="65"/>
  </r>
  <r>
    <x v="0"/>
    <x v="1"/>
    <n v="2162.35"/>
    <n v="1405.53"/>
    <n v="756.81999999999903"/>
    <n v="65"/>
  </r>
  <r>
    <x v="0"/>
    <x v="1"/>
    <n v="12851.11"/>
    <n v="8353.2199999999993"/>
    <n v="4497.8900000000003"/>
    <n v="65"/>
  </r>
  <r>
    <x v="0"/>
    <x v="2"/>
    <n v="8715.86"/>
    <n v="7408.48"/>
    <n v="1307.3800000000001"/>
    <n v="85"/>
  </r>
  <r>
    <x v="0"/>
    <x v="0"/>
    <n v="7772.78"/>
    <n v="4275.03"/>
    <n v="3497.75"/>
    <n v="55"/>
  </r>
  <r>
    <x v="0"/>
    <x v="0"/>
    <n v="8111.58"/>
    <n v="4461.37"/>
    <n v="3650.21"/>
    <n v="55"/>
  </r>
  <r>
    <x v="0"/>
    <x v="0"/>
    <n v="11793.16"/>
    <n v="6486.24"/>
    <n v="5306.92"/>
    <n v="55"/>
  </r>
  <r>
    <x v="0"/>
    <x v="2"/>
    <n v="10366.66"/>
    <n v="8811.66"/>
    <n v="1555"/>
    <n v="85"/>
  </r>
  <r>
    <x v="0"/>
    <x v="1"/>
    <n v="8453.69"/>
    <n v="5494.9"/>
    <n v="2958.79"/>
    <n v="65"/>
  </r>
  <r>
    <x v="0"/>
    <x v="1"/>
    <n v="8199.24"/>
    <n v="5329.51"/>
    <n v="2869.72999999999"/>
    <n v="65"/>
  </r>
  <r>
    <x v="0"/>
    <x v="1"/>
    <n v="12842.32"/>
    <n v="8347.51"/>
    <n v="4494.8099999999904"/>
    <n v="65"/>
  </r>
  <r>
    <x v="0"/>
    <x v="2"/>
    <n v="6935.34"/>
    <n v="5895.04"/>
    <n v="1040.3"/>
    <n v="85"/>
  </r>
  <r>
    <x v="0"/>
    <x v="0"/>
    <n v="9514.73"/>
    <n v="5233.1000000000004"/>
    <n v="4281.6299999999901"/>
    <n v="55"/>
  </r>
  <r>
    <x v="0"/>
    <x v="1"/>
    <n v="9311.65"/>
    <n v="6052.57"/>
    <n v="3259.08"/>
    <n v="65"/>
  </r>
  <r>
    <x v="0"/>
    <x v="2"/>
    <n v="11168.05"/>
    <n v="9492.84"/>
    <n v="1675.20999999999"/>
    <n v="85"/>
  </r>
  <r>
    <x v="0"/>
    <x v="1"/>
    <n v="18334.939999999999"/>
    <n v="11917.71"/>
    <n v="6417.23"/>
    <n v="65"/>
  </r>
  <r>
    <x v="0"/>
    <x v="1"/>
    <n v="13580.92"/>
    <n v="8827.6"/>
    <n v="4753.32"/>
    <n v="65"/>
  </r>
  <r>
    <x v="0"/>
    <x v="3"/>
    <n v="10655.91"/>
    <n v="2663.98"/>
    <n v="7991.93"/>
    <n v="25"/>
  </r>
  <r>
    <x v="0"/>
    <x v="3"/>
    <n v="12645.28"/>
    <n v="3161.32"/>
    <n v="9483.9599999999991"/>
    <n v="25"/>
  </r>
  <r>
    <x v="0"/>
    <x v="1"/>
    <n v="6972.74"/>
    <n v="4532.28"/>
    <n v="2440.46"/>
    <n v="65"/>
  </r>
  <r>
    <x v="0"/>
    <x v="1"/>
    <n v="5250.12"/>
    <n v="3412.58"/>
    <n v="1837.54"/>
    <n v="65"/>
  </r>
  <r>
    <x v="0"/>
    <x v="2"/>
    <n v="5959.97"/>
    <n v="5065.97"/>
    <n v="894"/>
    <n v="85"/>
  </r>
  <r>
    <x v="0"/>
    <x v="0"/>
    <n v="7358.23"/>
    <n v="4047.03"/>
    <n v="3311.1999999999898"/>
    <n v="55"/>
  </r>
  <r>
    <x v="0"/>
    <x v="1"/>
    <n v="11746.37"/>
    <n v="7635.14"/>
    <n v="4111.2299999999996"/>
    <n v="65"/>
  </r>
  <r>
    <x v="0"/>
    <x v="2"/>
    <n v="12663.25"/>
    <n v="10763.76"/>
    <n v="1899.48999999999"/>
    <n v="85"/>
  </r>
  <r>
    <x v="0"/>
    <x v="2"/>
    <n v="9378.5"/>
    <n v="7971.72"/>
    <n v="1406.77999999999"/>
    <n v="85"/>
  </r>
  <r>
    <x v="0"/>
    <x v="1"/>
    <n v="8129.57"/>
    <n v="5284.22"/>
    <n v="2845.3499999999899"/>
    <n v="65"/>
  </r>
  <r>
    <x v="0"/>
    <x v="2"/>
    <n v="5475.54"/>
    <n v="4654.21"/>
    <n v="821.32999999999902"/>
    <n v="85"/>
  </r>
  <r>
    <x v="0"/>
    <x v="1"/>
    <n v="13298.94"/>
    <n v="8644.31"/>
    <n v="4654.63"/>
    <n v="65"/>
  </r>
  <r>
    <x v="0"/>
    <x v="1"/>
    <n v="13539.15"/>
    <n v="8800.4500000000007"/>
    <n v="4738.6999999999898"/>
    <n v="65"/>
  </r>
  <r>
    <x v="0"/>
    <x v="2"/>
    <n v="7305.38"/>
    <n v="6209.57"/>
    <n v="1095.81"/>
    <n v="85"/>
  </r>
  <r>
    <x v="0"/>
    <x v="2"/>
    <n v="6886.51"/>
    <n v="5853.53"/>
    <n v="1032.98"/>
    <n v="85"/>
  </r>
  <r>
    <x v="0"/>
    <x v="2"/>
    <n v="9772.59"/>
    <n v="8306.7000000000007"/>
    <n v="1465.8899999999901"/>
    <n v="85"/>
  </r>
  <r>
    <x v="0"/>
    <x v="2"/>
    <n v="14486.3"/>
    <n v="12313.35"/>
    <n v="2172.9499999999898"/>
    <n v="85"/>
  </r>
  <r>
    <x v="0"/>
    <x v="0"/>
    <n v="11014.54"/>
    <n v="6058"/>
    <n v="4956.54"/>
    <n v="55"/>
  </r>
  <r>
    <x v="0"/>
    <x v="0"/>
    <n v="8804.08"/>
    <n v="4842.24"/>
    <n v="3961.84"/>
    <n v="55"/>
  </r>
  <r>
    <x v="0"/>
    <x v="1"/>
    <n v="9817.41"/>
    <n v="6381.32"/>
    <n v="3436.09"/>
    <n v="65"/>
  </r>
  <r>
    <x v="0"/>
    <x v="1"/>
    <n v="5743.75"/>
    <n v="3733.44"/>
    <n v="2010.31"/>
    <n v="65"/>
  </r>
  <r>
    <x v="0"/>
    <x v="0"/>
    <n v="13127.47"/>
    <n v="7220.11"/>
    <n v="5907.36"/>
    <n v="55"/>
  </r>
  <r>
    <x v="0"/>
    <x v="3"/>
    <n v="8396.75"/>
    <n v="2099.19"/>
    <n v="6297.5599999999904"/>
    <n v="25"/>
  </r>
  <r>
    <x v="0"/>
    <x v="2"/>
    <n v="5514.84"/>
    <n v="4687.6099999999997"/>
    <n v="827.23"/>
    <n v="85"/>
  </r>
  <r>
    <x v="0"/>
    <x v="1"/>
    <n v="9363.52"/>
    <n v="6086.29"/>
    <n v="3277.23"/>
    <n v="65"/>
  </r>
  <r>
    <x v="0"/>
    <x v="1"/>
    <n v="8719.39"/>
    <n v="5667.6"/>
    <n v="3051.78999999999"/>
    <n v="65"/>
  </r>
  <r>
    <x v="0"/>
    <x v="3"/>
    <n v="11504.34"/>
    <n v="2876.09"/>
    <n v="8628.25"/>
    <n v="25"/>
  </r>
  <r>
    <x v="0"/>
    <x v="2"/>
    <n v="13474.56"/>
    <n v="11453.38"/>
    <n v="2021.18"/>
    <n v="85"/>
  </r>
  <r>
    <x v="0"/>
    <x v="2"/>
    <n v="14115.59"/>
    <n v="11998.25"/>
    <n v="2117.34"/>
    <n v="85"/>
  </r>
  <r>
    <x v="0"/>
    <x v="2"/>
    <n v="10526.66"/>
    <n v="8947.66"/>
    <n v="1579"/>
    <n v="85"/>
  </r>
  <r>
    <x v="0"/>
    <x v="1"/>
    <n v="9230.11"/>
    <n v="5999.57"/>
    <n v="3230.54"/>
    <n v="65"/>
  </r>
  <r>
    <x v="0"/>
    <x v="0"/>
    <n v="8896.52"/>
    <n v="4893.09"/>
    <n v="4003.43"/>
    <n v="55"/>
  </r>
  <r>
    <x v="0"/>
    <x v="2"/>
    <n v="2034.47"/>
    <n v="1729.3"/>
    <n v="305.17"/>
    <n v="85"/>
  </r>
  <r>
    <x v="0"/>
    <x v="1"/>
    <n v="11036.55"/>
    <n v="7173.76"/>
    <n v="3862.78999999999"/>
    <n v="65"/>
  </r>
  <r>
    <x v="0"/>
    <x v="1"/>
    <n v="11358.81"/>
    <n v="7383.23"/>
    <n v="3975.58"/>
    <n v="65"/>
  </r>
  <r>
    <x v="0"/>
    <x v="1"/>
    <n v="9501.82"/>
    <n v="6176.18"/>
    <n v="3325.6399999999899"/>
    <n v="65"/>
  </r>
  <r>
    <x v="0"/>
    <x v="0"/>
    <n v="7170.83"/>
    <n v="3943.96"/>
    <n v="3226.87"/>
    <n v="55"/>
  </r>
  <r>
    <x v="0"/>
    <x v="3"/>
    <n v="14211.88"/>
    <n v="3552.97"/>
    <n v="10658.91"/>
    <n v="25"/>
  </r>
  <r>
    <x v="0"/>
    <x v="3"/>
    <n v="9944.35"/>
    <n v="2486.09"/>
    <n v="7458.26"/>
    <n v="25"/>
  </r>
  <r>
    <x v="0"/>
    <x v="1"/>
    <n v="4979.49"/>
    <n v="3236.67"/>
    <n v="1742.8199999999899"/>
    <n v="65"/>
  </r>
  <r>
    <x v="0"/>
    <x v="1"/>
    <n v="10307.040000000001"/>
    <n v="6699.58"/>
    <n v="3607.46"/>
    <n v="65"/>
  </r>
  <r>
    <x v="0"/>
    <x v="0"/>
    <n v="8702.17"/>
    <n v="4786.1899999999996"/>
    <n v="3915.98"/>
    <n v="55"/>
  </r>
  <r>
    <x v="0"/>
    <x v="1"/>
    <n v="11433.26"/>
    <n v="7431.62"/>
    <n v="4001.64"/>
    <n v="65"/>
  </r>
  <r>
    <x v="0"/>
    <x v="1"/>
    <n v="9222.91"/>
    <n v="5994.89"/>
    <n v="3228.01999999999"/>
    <n v="65"/>
  </r>
  <r>
    <x v="0"/>
    <x v="1"/>
    <n v="11019.46"/>
    <n v="7162.65"/>
    <n v="3856.8099999999899"/>
    <n v="65"/>
  </r>
  <r>
    <x v="0"/>
    <x v="1"/>
    <n v="9977.86"/>
    <n v="6485.61"/>
    <n v="3492.25"/>
    <n v="65"/>
  </r>
  <r>
    <x v="0"/>
    <x v="2"/>
    <n v="7673.99"/>
    <n v="6522.89"/>
    <n v="1151.0999999999899"/>
    <n v="85"/>
  </r>
  <r>
    <x v="0"/>
    <x v="2"/>
    <n v="12319.42"/>
    <n v="10471.51"/>
    <n v="1847.9099999999901"/>
    <n v="85"/>
  </r>
  <r>
    <x v="0"/>
    <x v="0"/>
    <n v="14215.62"/>
    <n v="7818.59"/>
    <n v="6397.03"/>
    <n v="55"/>
  </r>
  <r>
    <x v="0"/>
    <x v="0"/>
    <n v="14176.98"/>
    <n v="7797.34"/>
    <n v="6379.6399999999903"/>
    <n v="55"/>
  </r>
  <r>
    <x v="0"/>
    <x v="1"/>
    <n v="8519.7000000000007"/>
    <n v="5537.81"/>
    <n v="2981.89"/>
    <n v="65"/>
  </r>
  <r>
    <x v="0"/>
    <x v="1"/>
    <n v="12769.49"/>
    <n v="8300.17"/>
    <n v="4469.32"/>
    <n v="65"/>
  </r>
  <r>
    <x v="0"/>
    <x v="1"/>
    <n v="15119.81"/>
    <n v="9827.8799999999992"/>
    <n v="5291.93"/>
    <n v="65"/>
  </r>
  <r>
    <x v="0"/>
    <x v="1"/>
    <n v="12620.77"/>
    <n v="8203.5"/>
    <n v="4417.2700000000004"/>
    <n v="65"/>
  </r>
  <r>
    <x v="0"/>
    <x v="0"/>
    <n v="11947.26"/>
    <n v="6570.99"/>
    <n v="5376.27"/>
    <n v="55"/>
  </r>
  <r>
    <x v="0"/>
    <x v="1"/>
    <n v="6331.38"/>
    <n v="4115.3999999999996"/>
    <n v="2215.98"/>
    <n v="65"/>
  </r>
  <r>
    <x v="0"/>
    <x v="2"/>
    <n v="11861.64"/>
    <n v="10082.39"/>
    <n v="1779.25"/>
    <n v="85"/>
  </r>
  <r>
    <x v="0"/>
    <x v="1"/>
    <n v="9517.19"/>
    <n v="6186.17"/>
    <n v="3331.02"/>
    <n v="65"/>
  </r>
  <r>
    <x v="0"/>
    <x v="1"/>
    <n v="8929.76"/>
    <n v="5804.34"/>
    <n v="3125.42"/>
    <n v="65"/>
  </r>
  <r>
    <x v="0"/>
    <x v="2"/>
    <n v="11668.37"/>
    <n v="9918.11"/>
    <n v="1750.26"/>
    <n v="85"/>
  </r>
  <r>
    <x v="0"/>
    <x v="2"/>
    <n v="14091.66"/>
    <n v="11977.91"/>
    <n v="2113.75"/>
    <n v="85"/>
  </r>
  <r>
    <x v="0"/>
    <x v="1"/>
    <n v="17617.490000000002"/>
    <n v="11451.37"/>
    <n v="6166.12"/>
    <n v="65"/>
  </r>
  <r>
    <x v="0"/>
    <x v="1"/>
    <n v="5679.88"/>
    <n v="3691.92"/>
    <n v="1987.96"/>
    <n v="65"/>
  </r>
  <r>
    <x v="0"/>
    <x v="1"/>
    <n v="13572.18"/>
    <n v="8821.92"/>
    <n v="4750.26"/>
    <n v="65"/>
  </r>
  <r>
    <x v="0"/>
    <x v="2"/>
    <n v="11852.92"/>
    <n v="10074.98"/>
    <n v="1777.94"/>
    <n v="85"/>
  </r>
  <r>
    <x v="0"/>
    <x v="1"/>
    <n v="13651.21"/>
    <n v="8873.2900000000009"/>
    <n v="4777.9199999999901"/>
    <n v="65"/>
  </r>
  <r>
    <x v="0"/>
    <x v="1"/>
    <n v="10678.86"/>
    <n v="6941.26"/>
    <n v="3737.6"/>
    <n v="65"/>
  </r>
  <r>
    <x v="0"/>
    <x v="1"/>
    <n v="12542.2"/>
    <n v="8152.43"/>
    <n v="4389.7700000000004"/>
    <n v="65"/>
  </r>
  <r>
    <x v="0"/>
    <x v="1"/>
    <n v="10524.5"/>
    <n v="6840.93"/>
    <n v="3683.5699999999902"/>
    <n v="65"/>
  </r>
  <r>
    <x v="0"/>
    <x v="2"/>
    <n v="6349.44"/>
    <n v="5397.02"/>
    <n v="952.41999999999905"/>
    <n v="85"/>
  </r>
  <r>
    <x v="0"/>
    <x v="2"/>
    <n v="12203.5"/>
    <n v="10372.98"/>
    <n v="1830.52"/>
    <n v="85"/>
  </r>
  <r>
    <x v="0"/>
    <x v="1"/>
    <n v="7136.51"/>
    <n v="4638.7299999999996"/>
    <n v="2497.7800000000002"/>
    <n v="65"/>
  </r>
  <r>
    <x v="0"/>
    <x v="1"/>
    <n v="12309.93"/>
    <n v="8001.45"/>
    <n v="4308.4799999999996"/>
    <n v="65"/>
  </r>
  <r>
    <x v="0"/>
    <x v="2"/>
    <n v="13805.17"/>
    <n v="11734.39"/>
    <n v="2070.7800000000002"/>
    <n v="85"/>
  </r>
  <r>
    <x v="0"/>
    <x v="2"/>
    <n v="7397.08"/>
    <n v="6287.52"/>
    <n v="1109.5599999999899"/>
    <n v="85"/>
  </r>
  <r>
    <x v="0"/>
    <x v="0"/>
    <n v="10437.59"/>
    <n v="5740.67"/>
    <n v="4696.92"/>
    <n v="55"/>
  </r>
  <r>
    <x v="0"/>
    <x v="1"/>
    <n v="12636.02"/>
    <n v="8213.41"/>
    <n v="4422.6099999999997"/>
    <n v="65"/>
  </r>
  <r>
    <x v="0"/>
    <x v="2"/>
    <n v="9281.2199999999993"/>
    <n v="7889.04"/>
    <n v="1392.1799999999901"/>
    <n v="85"/>
  </r>
  <r>
    <x v="1"/>
    <x v="2"/>
    <n v="18203.27"/>
    <n v="15472.78"/>
    <n v="2730.49"/>
    <n v="85"/>
  </r>
  <r>
    <x v="1"/>
    <x v="0"/>
    <n v="10281.299999999999"/>
    <n v="5654.72"/>
    <n v="4626.5799999999899"/>
    <n v="55"/>
  </r>
  <r>
    <x v="1"/>
    <x v="1"/>
    <n v="7110.95"/>
    <n v="4622.12"/>
    <n v="2488.83"/>
    <n v="65"/>
  </r>
  <r>
    <x v="1"/>
    <x v="1"/>
    <n v="12931.54"/>
    <n v="8405.5"/>
    <n v="4526.04"/>
    <n v="65"/>
  </r>
  <r>
    <x v="1"/>
    <x v="2"/>
    <n v="9627.6"/>
    <n v="8183.46"/>
    <n v="1444.14"/>
    <n v="85"/>
  </r>
  <r>
    <x v="1"/>
    <x v="3"/>
    <n v="12221.02"/>
    <n v="3055.26"/>
    <n v="9165.76"/>
    <n v="25"/>
  </r>
  <r>
    <x v="1"/>
    <x v="3"/>
    <n v="8642.61"/>
    <n v="2160.65"/>
    <n v="6481.96"/>
    <n v="25"/>
  </r>
  <r>
    <x v="1"/>
    <x v="0"/>
    <n v="12331.15"/>
    <n v="6782.13"/>
    <n v="5549.0199999999904"/>
    <n v="55"/>
  </r>
  <r>
    <x v="1"/>
    <x v="2"/>
    <n v="7221.86"/>
    <n v="6138.58"/>
    <n v="1083.27999999999"/>
    <n v="85"/>
  </r>
  <r>
    <x v="1"/>
    <x v="2"/>
    <n v="8461.1"/>
    <n v="7191.94"/>
    <n v="1269.1600000000001"/>
    <n v="85"/>
  </r>
  <r>
    <x v="1"/>
    <x v="3"/>
    <n v="11890.22"/>
    <n v="2972.55"/>
    <n v="8917.6699999999892"/>
    <n v="25"/>
  </r>
  <r>
    <x v="1"/>
    <x v="1"/>
    <n v="15288.81"/>
    <n v="9937.73"/>
    <n v="5351.08"/>
    <n v="65"/>
  </r>
  <r>
    <x v="1"/>
    <x v="2"/>
    <n v="13172.27"/>
    <n v="11196.43"/>
    <n v="1975.84"/>
    <n v="85"/>
  </r>
  <r>
    <x v="1"/>
    <x v="2"/>
    <n v="10154.08"/>
    <n v="8630.9699999999993"/>
    <n v="1523.11"/>
    <n v="85"/>
  </r>
  <r>
    <x v="1"/>
    <x v="2"/>
    <n v="7122.98"/>
    <n v="6054.53"/>
    <n v="1068.44999999999"/>
    <n v="85"/>
  </r>
  <r>
    <x v="1"/>
    <x v="1"/>
    <n v="14146.01"/>
    <n v="9194.91"/>
    <n v="4951.1000000000004"/>
    <n v="65"/>
  </r>
  <r>
    <x v="1"/>
    <x v="2"/>
    <n v="10913.35"/>
    <n v="9276.35"/>
    <n v="1637"/>
    <n v="85"/>
  </r>
  <r>
    <x v="1"/>
    <x v="3"/>
    <n v="10771.62"/>
    <n v="2692.91"/>
    <n v="8078.71"/>
    <n v="25"/>
  </r>
  <r>
    <x v="1"/>
    <x v="0"/>
    <n v="14312.07"/>
    <n v="7871.64"/>
    <n v="6440.4299999999903"/>
    <n v="55"/>
  </r>
  <r>
    <x v="1"/>
    <x v="2"/>
    <n v="10021.92"/>
    <n v="8518.6299999999992"/>
    <n v="1503.29"/>
    <n v="85"/>
  </r>
  <r>
    <x v="1"/>
    <x v="2"/>
    <n v="10696.89"/>
    <n v="9092.36"/>
    <n v="1604.52999999999"/>
    <n v="85"/>
  </r>
  <r>
    <x v="1"/>
    <x v="1"/>
    <n v="10528.54"/>
    <n v="6843.55"/>
    <n v="3684.99"/>
    <n v="65"/>
  </r>
  <r>
    <x v="1"/>
    <x v="0"/>
    <n v="10495.07"/>
    <n v="5772.29"/>
    <n v="4722.78"/>
    <n v="55"/>
  </r>
  <r>
    <x v="1"/>
    <x v="1"/>
    <n v="7432.21"/>
    <n v="4830.9399999999996"/>
    <n v="2601.27"/>
    <n v="65"/>
  </r>
  <r>
    <x v="1"/>
    <x v="0"/>
    <n v="4634.51"/>
    <n v="2548.98"/>
    <n v="2085.5300000000002"/>
    <n v="55"/>
  </r>
  <r>
    <x v="1"/>
    <x v="2"/>
    <n v="11071.91"/>
    <n v="9411.1200000000008"/>
    <n v="1660.78999999999"/>
    <n v="85"/>
  </r>
  <r>
    <x v="1"/>
    <x v="1"/>
    <n v="7320.64"/>
    <n v="4758.42"/>
    <n v="2562.2199999999998"/>
    <n v="65"/>
  </r>
  <r>
    <x v="1"/>
    <x v="0"/>
    <n v="8995.5499999999993"/>
    <n v="4947.55"/>
    <n v="4047.99999999999"/>
    <n v="55"/>
  </r>
  <r>
    <x v="1"/>
    <x v="2"/>
    <n v="11648.73"/>
    <n v="9901.42"/>
    <n v="1747.3099999999899"/>
    <n v="85"/>
  </r>
  <r>
    <x v="1"/>
    <x v="1"/>
    <n v="6187.38"/>
    <n v="4021.8"/>
    <n v="2165.58"/>
    <n v="65"/>
  </r>
  <r>
    <x v="1"/>
    <x v="1"/>
    <n v="17167.11"/>
    <n v="11158.62"/>
    <n v="6008.49"/>
    <n v="65"/>
  </r>
  <r>
    <x v="1"/>
    <x v="2"/>
    <n v="15530.24"/>
    <n v="13200.7"/>
    <n v="2329.53999999999"/>
    <n v="85"/>
  </r>
  <r>
    <x v="1"/>
    <x v="2"/>
    <n v="10045.43"/>
    <n v="8538.6200000000008"/>
    <n v="1506.8099999999899"/>
    <n v="85"/>
  </r>
  <r>
    <x v="1"/>
    <x v="1"/>
    <n v="11326.22"/>
    <n v="7362.04"/>
    <n v="3964.1799999999898"/>
    <n v="65"/>
  </r>
  <r>
    <x v="1"/>
    <x v="2"/>
    <n v="8666.5"/>
    <n v="7366.52"/>
    <n v="1299.97999999999"/>
    <n v="85"/>
  </r>
  <r>
    <x v="1"/>
    <x v="1"/>
    <n v="4992.6000000000004"/>
    <n v="3245.19"/>
    <n v="1747.41"/>
    <n v="65"/>
  </r>
  <r>
    <x v="1"/>
    <x v="1"/>
    <n v="7684.54"/>
    <n v="4994.95"/>
    <n v="2689.59"/>
    <n v="65"/>
  </r>
  <r>
    <x v="1"/>
    <x v="1"/>
    <n v="14983.91"/>
    <n v="9739.5400000000009"/>
    <n v="5244.3699999999899"/>
    <n v="65"/>
  </r>
  <r>
    <x v="1"/>
    <x v="1"/>
    <n v="10953.3"/>
    <n v="7119.64"/>
    <n v="3833.6599999999899"/>
    <n v="65"/>
  </r>
  <r>
    <x v="1"/>
    <x v="2"/>
    <n v="5163.32"/>
    <n v="4388.82"/>
    <n v="774.5"/>
    <n v="85"/>
  </r>
  <r>
    <x v="1"/>
    <x v="2"/>
    <n v="11131.89"/>
    <n v="9462.11"/>
    <n v="1669.77999999999"/>
    <n v="85"/>
  </r>
  <r>
    <x v="1"/>
    <x v="2"/>
    <n v="14954.05"/>
    <n v="12710.94"/>
    <n v="2243.1099999999901"/>
    <n v="85"/>
  </r>
  <r>
    <x v="1"/>
    <x v="0"/>
    <n v="7807.78"/>
    <n v="4294.28"/>
    <n v="3513.5"/>
    <n v="55"/>
  </r>
  <r>
    <x v="1"/>
    <x v="2"/>
    <n v="6160.24"/>
    <n v="5236.2"/>
    <n v="924.04"/>
    <n v="85"/>
  </r>
  <r>
    <x v="1"/>
    <x v="1"/>
    <n v="9287.82"/>
    <n v="6037.08"/>
    <n v="3250.74"/>
    <n v="65"/>
  </r>
  <r>
    <x v="1"/>
    <x v="1"/>
    <n v="15616.02"/>
    <n v="10150.41"/>
    <n v="5465.61"/>
    <n v="65"/>
  </r>
  <r>
    <x v="1"/>
    <x v="0"/>
    <n v="6115.17"/>
    <n v="3363.34"/>
    <n v="2751.83"/>
    <n v="55"/>
  </r>
  <r>
    <x v="1"/>
    <x v="0"/>
    <n v="9684.64"/>
    <n v="5326.55"/>
    <n v="4358.0899999999901"/>
    <n v="55"/>
  </r>
  <r>
    <x v="1"/>
    <x v="0"/>
    <n v="14629.2"/>
    <n v="8046.06"/>
    <n v="6583.14"/>
    <n v="55"/>
  </r>
  <r>
    <x v="1"/>
    <x v="1"/>
    <n v="13969.79"/>
    <n v="9080.36"/>
    <n v="4889.43"/>
    <n v="65"/>
  </r>
  <r>
    <x v="1"/>
    <x v="0"/>
    <n v="10175.530000000001"/>
    <n v="5596.54"/>
    <n v="4578.99"/>
    <n v="55"/>
  </r>
  <r>
    <x v="1"/>
    <x v="2"/>
    <n v="17043.990000000002"/>
    <n v="14487.39"/>
    <n v="2556.6"/>
    <n v="85"/>
  </r>
  <r>
    <x v="1"/>
    <x v="2"/>
    <n v="9392.6299999999992"/>
    <n v="7983.74"/>
    <n v="1408.8899999999901"/>
    <n v="85"/>
  </r>
  <r>
    <x v="1"/>
    <x v="2"/>
    <n v="10182.69"/>
    <n v="8655.2900000000009"/>
    <n v="1527.3999999999901"/>
    <n v="85"/>
  </r>
  <r>
    <x v="1"/>
    <x v="3"/>
    <n v="4307.87"/>
    <n v="1076.97"/>
    <n v="3230.8999999999901"/>
    <n v="25"/>
  </r>
  <r>
    <x v="1"/>
    <x v="2"/>
    <n v="13841.62"/>
    <n v="11765.38"/>
    <n v="2076.2399999999998"/>
    <n v="85"/>
  </r>
  <r>
    <x v="1"/>
    <x v="0"/>
    <n v="12060.55"/>
    <n v="6633.3"/>
    <n v="5427.24999999999"/>
    <n v="55"/>
  </r>
  <r>
    <x v="1"/>
    <x v="0"/>
    <n v="10212.92"/>
    <n v="5617.11"/>
    <n v="4595.8100000000004"/>
    <n v="55"/>
  </r>
  <r>
    <x v="1"/>
    <x v="3"/>
    <n v="8540.7000000000007"/>
    <n v="2135.1799999999998"/>
    <n v="6405.52"/>
    <n v="25"/>
  </r>
  <r>
    <x v="1"/>
    <x v="1"/>
    <n v="10622.79"/>
    <n v="6904.81"/>
    <n v="3717.98"/>
    <n v="65"/>
  </r>
  <r>
    <x v="1"/>
    <x v="2"/>
    <n v="8133.29"/>
    <n v="6913.3"/>
    <n v="1219.98999999999"/>
    <n v="85"/>
  </r>
  <r>
    <x v="1"/>
    <x v="2"/>
    <n v="8933.5300000000007"/>
    <n v="7593.5"/>
    <n v="1340.03"/>
    <n v="85"/>
  </r>
  <r>
    <x v="1"/>
    <x v="2"/>
    <n v="11086.04"/>
    <n v="9423.1299999999992"/>
    <n v="1662.91"/>
    <n v="85"/>
  </r>
  <r>
    <x v="1"/>
    <x v="2"/>
    <n v="11743.94"/>
    <n v="9982.35"/>
    <n v="1761.59"/>
    <n v="85"/>
  </r>
  <r>
    <x v="1"/>
    <x v="1"/>
    <n v="11655.21"/>
    <n v="7575.89"/>
    <n v="4079.3199999999902"/>
    <n v="65"/>
  </r>
  <r>
    <x v="1"/>
    <x v="2"/>
    <n v="7869.62"/>
    <n v="6689.18"/>
    <n v="1180.4399999999901"/>
    <n v="85"/>
  </r>
  <r>
    <x v="1"/>
    <x v="3"/>
    <n v="4636.99"/>
    <n v="1159.25"/>
    <n v="3477.74"/>
    <n v="25"/>
  </r>
  <r>
    <x v="1"/>
    <x v="2"/>
    <n v="6338.29"/>
    <n v="5387.55"/>
    <n v="950.73999999999899"/>
    <n v="85"/>
  </r>
  <r>
    <x v="1"/>
    <x v="1"/>
    <n v="14658.58"/>
    <n v="9528.08"/>
    <n v="5130.5"/>
    <n v="65"/>
  </r>
  <r>
    <x v="1"/>
    <x v="2"/>
    <n v="8681.4500000000007"/>
    <n v="7379.23"/>
    <n v="1302.22"/>
    <n v="85"/>
  </r>
  <r>
    <x v="1"/>
    <x v="1"/>
    <n v="10036.44"/>
    <n v="6523.69"/>
    <n v="3512.75"/>
    <n v="65"/>
  </r>
  <r>
    <x v="1"/>
    <x v="2"/>
    <n v="12792.8"/>
    <n v="10873.88"/>
    <n v="1918.92"/>
    <n v="85"/>
  </r>
  <r>
    <x v="1"/>
    <x v="1"/>
    <n v="9282.33"/>
    <n v="6033.51"/>
    <n v="3248.8199999999902"/>
    <n v="65"/>
  </r>
  <r>
    <x v="1"/>
    <x v="1"/>
    <n v="12561.92"/>
    <n v="8165.25"/>
    <n v="4396.67"/>
    <n v="65"/>
  </r>
  <r>
    <x v="1"/>
    <x v="3"/>
    <n v="9186.8799999999992"/>
    <n v="2296.7199999999998"/>
    <n v="6890.16"/>
    <n v="25"/>
  </r>
  <r>
    <x v="1"/>
    <x v="3"/>
    <n v="8160.72"/>
    <n v="2040.18"/>
    <n v="6120.54"/>
    <n v="25"/>
  </r>
  <r>
    <x v="1"/>
    <x v="3"/>
    <n v="15736.95"/>
    <n v="3934.24"/>
    <n v="11802.71"/>
    <n v="25"/>
  </r>
  <r>
    <x v="1"/>
    <x v="0"/>
    <n v="13195.68"/>
    <n v="7257.62"/>
    <n v="5938.06"/>
    <n v="55"/>
  </r>
  <r>
    <x v="1"/>
    <x v="1"/>
    <n v="13614.77"/>
    <n v="8849.6"/>
    <n v="4765.17"/>
    <n v="65"/>
  </r>
  <r>
    <x v="1"/>
    <x v="2"/>
    <n v="6410.02"/>
    <n v="5448.52"/>
    <n v="961.5"/>
    <n v="85"/>
  </r>
  <r>
    <x v="1"/>
    <x v="2"/>
    <n v="7902.56"/>
    <n v="6717.18"/>
    <n v="1185.3800000000001"/>
    <n v="85"/>
  </r>
  <r>
    <x v="1"/>
    <x v="0"/>
    <n v="9973.5499999999993"/>
    <n v="5485.45"/>
    <n v="4488.0999999999904"/>
    <n v="55"/>
  </r>
  <r>
    <x v="1"/>
    <x v="0"/>
    <n v="9072.7199999999993"/>
    <n v="4990"/>
    <n v="4082.7199999999898"/>
    <n v="55"/>
  </r>
  <r>
    <x v="1"/>
    <x v="1"/>
    <n v="12411.44"/>
    <n v="8067.44"/>
    <n v="4344"/>
    <n v="65"/>
  </r>
  <r>
    <x v="1"/>
    <x v="1"/>
    <n v="11841.52"/>
    <n v="7696.99"/>
    <n v="4144.53"/>
    <n v="65"/>
  </r>
  <r>
    <x v="1"/>
    <x v="1"/>
    <n v="14073.64"/>
    <n v="9147.8700000000008"/>
    <n v="4925.7699999999904"/>
    <n v="65"/>
  </r>
  <r>
    <x v="1"/>
    <x v="1"/>
    <n v="8700.09"/>
    <n v="5655.06"/>
    <n v="3045.0299999999902"/>
    <n v="65"/>
  </r>
  <r>
    <x v="1"/>
    <x v="2"/>
    <n v="10611.47"/>
    <n v="9019.75"/>
    <n v="1591.71999999999"/>
    <n v="85"/>
  </r>
  <r>
    <x v="1"/>
    <x v="2"/>
    <n v="13463.06"/>
    <n v="11443.6"/>
    <n v="2019.45999999999"/>
    <n v="85"/>
  </r>
  <r>
    <x v="1"/>
    <x v="3"/>
    <n v="8567.85"/>
    <n v="2141.96"/>
    <n v="6425.89"/>
    <n v="25"/>
  </r>
  <r>
    <x v="1"/>
    <x v="3"/>
    <n v="8007.32"/>
    <n v="2001.83"/>
    <n v="6005.49"/>
    <n v="25"/>
  </r>
  <r>
    <x v="1"/>
    <x v="1"/>
    <n v="14080.33"/>
    <n v="9152.2099999999991"/>
    <n v="4928.12"/>
    <n v="65"/>
  </r>
  <r>
    <x v="1"/>
    <x v="2"/>
    <n v="3888.77"/>
    <n v="3305.45"/>
    <n v="583.32000000000005"/>
    <n v="85"/>
  </r>
  <r>
    <x v="1"/>
    <x v="3"/>
    <n v="14710.1"/>
    <n v="3677.53"/>
    <n v="11032.57"/>
    <n v="25"/>
  </r>
  <r>
    <x v="1"/>
    <x v="1"/>
    <n v="9093.0300000000007"/>
    <n v="5910.47"/>
    <n v="3182.56"/>
    <n v="65"/>
  </r>
  <r>
    <x v="1"/>
    <x v="0"/>
    <n v="9986.31"/>
    <n v="5492.47"/>
    <n v="4493.8399999999901"/>
    <n v="55"/>
  </r>
  <r>
    <x v="1"/>
    <x v="1"/>
    <n v="13813.41"/>
    <n v="8978.7199999999993"/>
    <n v="4834.6899999999996"/>
    <n v="65"/>
  </r>
  <r>
    <x v="1"/>
    <x v="2"/>
    <n v="12312.59"/>
    <n v="10465.700000000001"/>
    <n v="1846.8899999999901"/>
    <n v="85"/>
  </r>
  <r>
    <x v="1"/>
    <x v="3"/>
    <n v="5663.17"/>
    <n v="1415.79"/>
    <n v="4247.38"/>
    <n v="25"/>
  </r>
  <r>
    <x v="1"/>
    <x v="2"/>
    <n v="7467.59"/>
    <n v="6347.45"/>
    <n v="1120.1400000000001"/>
    <n v="85"/>
  </r>
  <r>
    <x v="2"/>
    <x v="1"/>
    <n v="10208.959999999999"/>
    <n v="6635.82"/>
    <n v="3573.1399999999899"/>
    <n v="65"/>
  </r>
  <r>
    <x v="2"/>
    <x v="3"/>
    <n v="12950.51"/>
    <n v="3237.63"/>
    <n v="9712.8799999999992"/>
    <n v="25"/>
  </r>
  <r>
    <x v="2"/>
    <x v="1"/>
    <n v="11420.88"/>
    <n v="7423.57"/>
    <n v="3997.3099999999899"/>
    <n v="65"/>
  </r>
  <r>
    <x v="2"/>
    <x v="0"/>
    <n v="10163.049999999999"/>
    <n v="5589.68"/>
    <n v="4573.3699999999899"/>
    <n v="55"/>
  </r>
  <r>
    <x v="2"/>
    <x v="2"/>
    <n v="8704.17"/>
    <n v="7398.54"/>
    <n v="1305.6300000000001"/>
    <n v="85"/>
  </r>
  <r>
    <x v="2"/>
    <x v="2"/>
    <n v="15579.9"/>
    <n v="13242.91"/>
    <n v="2336.9899999999998"/>
    <n v="85"/>
  </r>
  <r>
    <x v="2"/>
    <x v="2"/>
    <n v="9667.2000000000007"/>
    <n v="8217.1200000000008"/>
    <n v="1450.08"/>
    <n v="85"/>
  </r>
  <r>
    <x v="2"/>
    <x v="2"/>
    <n v="12928.93"/>
    <n v="10989.59"/>
    <n v="1939.34"/>
    <n v="85"/>
  </r>
  <r>
    <x v="2"/>
    <x v="1"/>
    <n v="9526.83"/>
    <n v="6192.44"/>
    <n v="3334.39"/>
    <n v="65"/>
  </r>
  <r>
    <x v="2"/>
    <x v="0"/>
    <n v="5934.83"/>
    <n v="3264.16"/>
    <n v="2670.67"/>
    <n v="55"/>
  </r>
  <r>
    <x v="2"/>
    <x v="2"/>
    <n v="4261.88"/>
    <n v="3622.6"/>
    <n v="639.28"/>
    <n v="85"/>
  </r>
  <r>
    <x v="2"/>
    <x v="2"/>
    <n v="11087.43"/>
    <n v="9424.32"/>
    <n v="1663.11"/>
    <n v="85"/>
  </r>
  <r>
    <x v="2"/>
    <x v="2"/>
    <n v="12225.89"/>
    <n v="10392.01"/>
    <n v="1833.8799999999901"/>
    <n v="85"/>
  </r>
  <r>
    <x v="2"/>
    <x v="0"/>
    <n v="14429.98"/>
    <n v="7936.49"/>
    <n v="6493.49"/>
    <n v="55"/>
  </r>
  <r>
    <x v="2"/>
    <x v="3"/>
    <n v="9779.17"/>
    <n v="2444.79"/>
    <n v="7334.38"/>
    <n v="25"/>
  </r>
  <r>
    <x v="2"/>
    <x v="2"/>
    <n v="9153.34"/>
    <n v="7780.34"/>
    <n v="1373"/>
    <n v="85"/>
  </r>
  <r>
    <x v="2"/>
    <x v="3"/>
    <n v="10886.43"/>
    <n v="2721.61"/>
    <n v="8164.82"/>
    <n v="25"/>
  </r>
  <r>
    <x v="2"/>
    <x v="0"/>
    <n v="6707.96"/>
    <n v="3689.38"/>
    <n v="3018.58"/>
    <n v="55"/>
  </r>
  <r>
    <x v="2"/>
    <x v="3"/>
    <n v="10826.91"/>
    <n v="2706.73"/>
    <n v="8120.18"/>
    <n v="25"/>
  </r>
  <r>
    <x v="2"/>
    <x v="0"/>
    <n v="10836.17"/>
    <n v="5959.89"/>
    <n v="4876.28"/>
    <n v="55"/>
  </r>
  <r>
    <x v="2"/>
    <x v="0"/>
    <n v="9674.11"/>
    <n v="5320.76"/>
    <n v="4353.3500000000004"/>
    <n v="55"/>
  </r>
  <r>
    <x v="2"/>
    <x v="2"/>
    <n v="9833.5499999999993"/>
    <n v="8358.52"/>
    <n v="1475.02999999999"/>
    <n v="85"/>
  </r>
  <r>
    <x v="2"/>
    <x v="2"/>
    <n v="14548.7"/>
    <n v="12366.4"/>
    <n v="2182.3000000000002"/>
    <n v="85"/>
  </r>
  <r>
    <x v="2"/>
    <x v="3"/>
    <n v="10937.38"/>
    <n v="2734.34"/>
    <n v="8203.03999999999"/>
    <n v="25"/>
  </r>
  <r>
    <x v="2"/>
    <x v="2"/>
    <n v="9060.93"/>
    <n v="7701.79"/>
    <n v="1359.14"/>
    <n v="85"/>
  </r>
  <r>
    <x v="2"/>
    <x v="1"/>
    <n v="5202.63"/>
    <n v="3381.71"/>
    <n v="1820.92"/>
    <n v="65"/>
  </r>
  <r>
    <x v="2"/>
    <x v="3"/>
    <n v="5894.23"/>
    <n v="1473.56"/>
    <n v="4420.67"/>
    <n v="25"/>
  </r>
  <r>
    <x v="2"/>
    <x v="2"/>
    <n v="11606.48"/>
    <n v="9865.51"/>
    <n v="1740.96999999999"/>
    <n v="85"/>
  </r>
  <r>
    <x v="2"/>
    <x v="2"/>
    <n v="7516.32"/>
    <n v="6388.87"/>
    <n v="1127.44999999999"/>
    <n v="85"/>
  </r>
  <r>
    <x v="2"/>
    <x v="2"/>
    <n v="9088.41"/>
    <n v="7725.15"/>
    <n v="1363.26"/>
    <n v="85"/>
  </r>
  <r>
    <x v="2"/>
    <x v="0"/>
    <n v="10344.58"/>
    <n v="5689.52"/>
    <n v="4655.0599999999904"/>
    <n v="55"/>
  </r>
  <r>
    <x v="2"/>
    <x v="2"/>
    <n v="14653.79"/>
    <n v="12455.72"/>
    <n v="2198.0700000000002"/>
    <n v="85"/>
  </r>
  <r>
    <x v="2"/>
    <x v="2"/>
    <n v="13079.74"/>
    <n v="11117.78"/>
    <n v="1961.95999999999"/>
    <n v="85"/>
  </r>
  <r>
    <x v="2"/>
    <x v="0"/>
    <n v="10498.26"/>
    <n v="5774.04"/>
    <n v="4724.22"/>
    <n v="55"/>
  </r>
  <r>
    <x v="2"/>
    <x v="1"/>
    <n v="14467.14"/>
    <n v="9403.64"/>
    <n v="5063.5"/>
    <n v="65"/>
  </r>
  <r>
    <x v="2"/>
    <x v="1"/>
    <n v="12633.48"/>
    <n v="8211.76"/>
    <n v="4421.7199999999903"/>
    <n v="65"/>
  </r>
  <r>
    <x v="2"/>
    <x v="1"/>
    <n v="4807.38"/>
    <n v="3124.8"/>
    <n v="1682.58"/>
    <n v="65"/>
  </r>
  <r>
    <x v="2"/>
    <x v="0"/>
    <n v="14333.02"/>
    <n v="7883.16"/>
    <n v="6449.86"/>
    <n v="55"/>
  </r>
  <r>
    <x v="2"/>
    <x v="3"/>
    <n v="10600.4"/>
    <n v="2650.1"/>
    <n v="7950.2999999999902"/>
    <n v="25"/>
  </r>
  <r>
    <x v="2"/>
    <x v="2"/>
    <n v="3487.4"/>
    <n v="2964.29"/>
    <n v="523.11"/>
    <n v="85"/>
  </r>
  <r>
    <x v="2"/>
    <x v="0"/>
    <n v="12944.64"/>
    <n v="7119.55"/>
    <n v="5825.0899999999901"/>
    <n v="55"/>
  </r>
  <r>
    <x v="2"/>
    <x v="3"/>
    <n v="10992.1"/>
    <n v="2748.03"/>
    <n v="8244.07"/>
    <n v="25"/>
  </r>
  <r>
    <x v="2"/>
    <x v="1"/>
    <n v="9955.85"/>
    <n v="6471.3"/>
    <n v="3484.55"/>
    <n v="65"/>
  </r>
  <r>
    <x v="2"/>
    <x v="1"/>
    <n v="12389.22"/>
    <n v="8052.99"/>
    <n v="4336.2299999999996"/>
    <n v="65"/>
  </r>
  <r>
    <x v="2"/>
    <x v="0"/>
    <n v="9981.4"/>
    <n v="5489.77"/>
    <n v="4491.6299999999901"/>
    <n v="55"/>
  </r>
  <r>
    <x v="2"/>
    <x v="1"/>
    <n v="11209.36"/>
    <n v="7286.08"/>
    <n v="3923.28"/>
    <n v="65"/>
  </r>
  <r>
    <x v="2"/>
    <x v="2"/>
    <n v="9631.27"/>
    <n v="8186.58"/>
    <n v="1444.69"/>
    <n v="85"/>
  </r>
  <r>
    <x v="2"/>
    <x v="1"/>
    <n v="9774.09"/>
    <n v="6353.16"/>
    <n v="3420.93"/>
    <n v="65"/>
  </r>
  <r>
    <x v="2"/>
    <x v="1"/>
    <n v="6696.24"/>
    <n v="4352.5600000000004"/>
    <n v="2343.6799999999898"/>
    <n v="65"/>
  </r>
  <r>
    <x v="2"/>
    <x v="1"/>
    <n v="11463.02"/>
    <n v="7450.96"/>
    <n v="4012.06"/>
    <n v="65"/>
  </r>
  <r>
    <x v="2"/>
    <x v="2"/>
    <n v="16165.28"/>
    <n v="13740.49"/>
    <n v="2424.79"/>
    <n v="85"/>
  </r>
  <r>
    <x v="2"/>
    <x v="1"/>
    <n v="9041.92"/>
    <n v="5877.25"/>
    <n v="3164.67"/>
    <n v="65"/>
  </r>
  <r>
    <x v="2"/>
    <x v="1"/>
    <n v="7553.5"/>
    <n v="4909.78"/>
    <n v="2643.72"/>
    <n v="65"/>
  </r>
  <r>
    <x v="2"/>
    <x v="1"/>
    <n v="8322.92"/>
    <n v="5409.9"/>
    <n v="2913.02"/>
    <n v="65"/>
  </r>
  <r>
    <x v="2"/>
    <x v="1"/>
    <n v="5697.73"/>
    <n v="3703.52"/>
    <n v="1994.20999999999"/>
    <n v="65"/>
  </r>
  <r>
    <x v="2"/>
    <x v="0"/>
    <n v="9425.4"/>
    <n v="5183.97"/>
    <n v="4241.4299999999903"/>
    <n v="55"/>
  </r>
  <r>
    <x v="2"/>
    <x v="0"/>
    <n v="9694.15"/>
    <n v="5331.78"/>
    <n v="4362.37"/>
    <n v="55"/>
  </r>
  <r>
    <x v="2"/>
    <x v="2"/>
    <n v="10126.4"/>
    <n v="8607.44"/>
    <n v="1518.95999999999"/>
    <n v="85"/>
  </r>
  <r>
    <x v="2"/>
    <x v="2"/>
    <n v="12554.06"/>
    <n v="10670.95"/>
    <n v="1883.1099999999899"/>
    <n v="85"/>
  </r>
  <r>
    <x v="2"/>
    <x v="2"/>
    <n v="8138.91"/>
    <n v="6918.07"/>
    <n v="1220.8399999999999"/>
    <n v="85"/>
  </r>
  <r>
    <x v="2"/>
    <x v="1"/>
    <n v="8358.16"/>
    <n v="5432.8"/>
    <n v="2925.3599999999901"/>
    <n v="65"/>
  </r>
  <r>
    <x v="2"/>
    <x v="0"/>
    <n v="6315.84"/>
    <n v="3473.71"/>
    <n v="2842.13"/>
    <n v="55"/>
  </r>
  <r>
    <x v="2"/>
    <x v="2"/>
    <n v="8120.43"/>
    <n v="6902.37"/>
    <n v="1218.06"/>
    <n v="85"/>
  </r>
  <r>
    <x v="2"/>
    <x v="2"/>
    <n v="3423.61"/>
    <n v="2910.07"/>
    <n v="513.54"/>
    <n v="85"/>
  </r>
  <r>
    <x v="2"/>
    <x v="1"/>
    <n v="12554.21"/>
    <n v="8160.24"/>
    <n v="4393.9699999999903"/>
    <n v="65"/>
  </r>
  <r>
    <x v="2"/>
    <x v="2"/>
    <n v="7036.19"/>
    <n v="5980.76"/>
    <n v="1055.4299999999901"/>
    <n v="85"/>
  </r>
  <r>
    <x v="2"/>
    <x v="0"/>
    <n v="7083.19"/>
    <n v="3895.75"/>
    <n v="3187.4399999999901"/>
    <n v="55"/>
  </r>
  <r>
    <x v="2"/>
    <x v="0"/>
    <n v="10238.450000000001"/>
    <n v="5631.15"/>
    <n v="4607.3"/>
    <n v="55"/>
  </r>
  <r>
    <x v="2"/>
    <x v="0"/>
    <n v="7568.48"/>
    <n v="4162.66"/>
    <n v="3405.8199999999902"/>
    <n v="55"/>
  </r>
  <r>
    <x v="2"/>
    <x v="0"/>
    <n v="7286.37"/>
    <n v="4007.5"/>
    <n v="3278.87"/>
    <n v="55"/>
  </r>
  <r>
    <x v="2"/>
    <x v="1"/>
    <n v="6816.21"/>
    <n v="4430.54"/>
    <n v="2385.67"/>
    <n v="65"/>
  </r>
  <r>
    <x v="2"/>
    <x v="1"/>
    <n v="8036.88"/>
    <n v="5223.97"/>
    <n v="2812.91"/>
    <n v="65"/>
  </r>
  <r>
    <x v="2"/>
    <x v="1"/>
    <n v="10654.67"/>
    <n v="6925.54"/>
    <n v="3729.13"/>
    <n v="65"/>
  </r>
  <r>
    <x v="2"/>
    <x v="2"/>
    <n v="12731.69"/>
    <n v="10821.94"/>
    <n v="1909.75"/>
    <n v="85"/>
  </r>
  <r>
    <x v="2"/>
    <x v="2"/>
    <n v="7378.08"/>
    <n v="6271.37"/>
    <n v="1106.71"/>
    <n v="85"/>
  </r>
  <r>
    <x v="2"/>
    <x v="0"/>
    <n v="9990.11"/>
    <n v="5494.56"/>
    <n v="4495.55"/>
    <n v="55"/>
  </r>
  <r>
    <x v="2"/>
    <x v="2"/>
    <n v="8678.49"/>
    <n v="7376.72"/>
    <n v="1301.76999999999"/>
    <n v="85"/>
  </r>
  <r>
    <x v="2"/>
    <x v="1"/>
    <n v="14746.11"/>
    <n v="9584.9699999999993"/>
    <n v="5161.1400000000003"/>
    <n v="65"/>
  </r>
  <r>
    <x v="2"/>
    <x v="1"/>
    <n v="14187.2"/>
    <n v="9221.68"/>
    <n v="4965.5200000000004"/>
    <n v="65"/>
  </r>
  <r>
    <x v="2"/>
    <x v="2"/>
    <n v="6071.05"/>
    <n v="5160.3900000000003"/>
    <n v="910.65999999999894"/>
    <n v="85"/>
  </r>
  <r>
    <x v="2"/>
    <x v="0"/>
    <n v="10083.07"/>
    <n v="5545.69"/>
    <n v="4537.38"/>
    <n v="55"/>
  </r>
  <r>
    <x v="2"/>
    <x v="1"/>
    <n v="10382.1"/>
    <n v="6748.37"/>
    <n v="3633.73"/>
    <n v="65"/>
  </r>
  <r>
    <x v="2"/>
    <x v="1"/>
    <n v="8625.67"/>
    <n v="5606.69"/>
    <n v="3018.98"/>
    <n v="65"/>
  </r>
  <r>
    <x v="2"/>
    <x v="1"/>
    <n v="8122.02"/>
    <n v="5279.31"/>
    <n v="2842.71"/>
    <n v="65"/>
  </r>
  <r>
    <x v="2"/>
    <x v="1"/>
    <n v="7514.25"/>
    <n v="4884.26"/>
    <n v="2629.99"/>
    <n v="65"/>
  </r>
  <r>
    <x v="2"/>
    <x v="2"/>
    <n v="8364.49"/>
    <n v="7109.82"/>
    <n v="1254.67"/>
    <n v="85"/>
  </r>
  <r>
    <x v="2"/>
    <x v="1"/>
    <n v="2491.7199999999998"/>
    <n v="1619.62"/>
    <n v="872.099999999999"/>
    <n v="65"/>
  </r>
  <r>
    <x v="2"/>
    <x v="3"/>
    <n v="12053.93"/>
    <n v="3013.48"/>
    <n v="9040.4500000000007"/>
    <n v="25"/>
  </r>
  <r>
    <x v="2"/>
    <x v="1"/>
    <n v="11170.76"/>
    <n v="7260.99"/>
    <n v="3909.77"/>
    <n v="65"/>
  </r>
  <r>
    <x v="2"/>
    <x v="2"/>
    <n v="9745.27"/>
    <n v="8283.48"/>
    <n v="1461.79"/>
    <n v="85"/>
  </r>
  <r>
    <x v="2"/>
    <x v="2"/>
    <n v="7827.99"/>
    <n v="6653.79"/>
    <n v="1174.19999999999"/>
    <n v="85"/>
  </r>
  <r>
    <x v="2"/>
    <x v="2"/>
    <n v="8402.26"/>
    <n v="7141.92"/>
    <n v="1260.3399999999999"/>
    <n v="85"/>
  </r>
  <r>
    <x v="2"/>
    <x v="3"/>
    <n v="16129.96"/>
    <n v="4032.49"/>
    <n v="12097.47"/>
    <n v="25"/>
  </r>
  <r>
    <x v="2"/>
    <x v="1"/>
    <n v="14858.84"/>
    <n v="9658.25"/>
    <n v="5200.59"/>
    <n v="65"/>
  </r>
  <r>
    <x v="2"/>
    <x v="2"/>
    <n v="8306.33"/>
    <n v="7060.38"/>
    <n v="1245.94999999999"/>
    <n v="85"/>
  </r>
  <r>
    <x v="2"/>
    <x v="0"/>
    <n v="6993.86"/>
    <n v="3846.62"/>
    <n v="3147.24"/>
    <n v="55"/>
  </r>
  <r>
    <x v="2"/>
    <x v="0"/>
    <n v="8624.14"/>
    <n v="4743.28"/>
    <n v="3880.8599999999901"/>
    <n v="55"/>
  </r>
  <r>
    <x v="2"/>
    <x v="2"/>
    <n v="9079.85"/>
    <n v="7717.87"/>
    <n v="1361.98"/>
    <n v="85"/>
  </r>
  <r>
    <x v="2"/>
    <x v="1"/>
    <n v="6582.57"/>
    <n v="4278.67"/>
    <n v="2303.8999999999901"/>
    <n v="65"/>
  </r>
  <r>
    <x v="2"/>
    <x v="0"/>
    <n v="10803.23"/>
    <n v="5941.78"/>
    <n v="4861.45"/>
    <n v="55"/>
  </r>
  <r>
    <x v="3"/>
    <x v="0"/>
    <n v="9554.35"/>
    <n v="5254.89"/>
    <n v="4299.46"/>
    <n v="55"/>
  </r>
  <r>
    <x v="3"/>
    <x v="1"/>
    <n v="8777.6200000000008"/>
    <n v="5705.45"/>
    <n v="3072.17"/>
    <n v="65"/>
  </r>
  <r>
    <x v="3"/>
    <x v="1"/>
    <n v="8194.09"/>
    <n v="5326.16"/>
    <n v="2867.93"/>
    <n v="65"/>
  </r>
  <r>
    <x v="3"/>
    <x v="2"/>
    <n v="12280.75"/>
    <n v="10438.64"/>
    <n v="1842.11"/>
    <n v="85"/>
  </r>
  <r>
    <x v="3"/>
    <x v="2"/>
    <n v="7829.98"/>
    <n v="6655.48"/>
    <n v="1174.5"/>
    <n v="85"/>
  </r>
  <r>
    <x v="3"/>
    <x v="0"/>
    <n v="17301.54"/>
    <n v="9515.85"/>
    <n v="7785.69"/>
    <n v="55"/>
  </r>
  <r>
    <x v="3"/>
    <x v="1"/>
    <n v="10509.19"/>
    <n v="6830.97"/>
    <n v="3678.22"/>
    <n v="65"/>
  </r>
  <r>
    <x v="3"/>
    <x v="1"/>
    <n v="10268.18"/>
    <n v="6674.32"/>
    <n v="3593.86"/>
    <n v="65"/>
  </r>
  <r>
    <x v="3"/>
    <x v="1"/>
    <n v="11464.13"/>
    <n v="7451.68"/>
    <n v="4012.4499999999898"/>
    <n v="65"/>
  </r>
  <r>
    <x v="3"/>
    <x v="2"/>
    <n v="14740.4"/>
    <n v="12529.34"/>
    <n v="2211.0599999999899"/>
    <n v="85"/>
  </r>
  <r>
    <x v="3"/>
    <x v="1"/>
    <n v="8216.4500000000007"/>
    <n v="5340.69"/>
    <n v="2875.76"/>
    <n v="65"/>
  </r>
  <r>
    <x v="3"/>
    <x v="1"/>
    <n v="11764.99"/>
    <n v="7647.24"/>
    <n v="4117.75"/>
    <n v="65"/>
  </r>
  <r>
    <x v="3"/>
    <x v="1"/>
    <n v="11630.45"/>
    <n v="7559.79"/>
    <n v="4070.66"/>
    <n v="65"/>
  </r>
  <r>
    <x v="3"/>
    <x v="0"/>
    <n v="13104.76"/>
    <n v="7207.62"/>
    <n v="5897.14"/>
    <n v="55"/>
  </r>
  <r>
    <x v="3"/>
    <x v="0"/>
    <n v="9189.39"/>
    <n v="5054.16"/>
    <n v="4135.2299999999996"/>
    <n v="55"/>
  </r>
  <r>
    <x v="3"/>
    <x v="2"/>
    <n v="12842.85"/>
    <n v="10916.42"/>
    <n v="1926.43"/>
    <n v="85"/>
  </r>
  <r>
    <x v="3"/>
    <x v="0"/>
    <n v="7970.76"/>
    <n v="4383.92"/>
    <n v="3586.84"/>
    <n v="55"/>
  </r>
  <r>
    <x v="3"/>
    <x v="1"/>
    <n v="3309.01"/>
    <n v="2150.86"/>
    <n v="1158.1500000000001"/>
    <n v="65"/>
  </r>
  <r>
    <x v="3"/>
    <x v="2"/>
    <n v="5259.24"/>
    <n v="4470.3500000000004"/>
    <n v="788.88999999999896"/>
    <n v="85"/>
  </r>
  <r>
    <x v="3"/>
    <x v="2"/>
    <n v="10048.16"/>
    <n v="8540.94"/>
    <n v="1507.21999999999"/>
    <n v="85"/>
  </r>
  <r>
    <x v="3"/>
    <x v="0"/>
    <n v="12677.23"/>
    <n v="6972.48"/>
    <n v="5704.75"/>
    <n v="55"/>
  </r>
  <r>
    <x v="3"/>
    <x v="2"/>
    <n v="10286.86"/>
    <n v="8743.83"/>
    <n v="1543.03"/>
    <n v="85"/>
  </r>
  <r>
    <x v="3"/>
    <x v="1"/>
    <n v="10495.58"/>
    <n v="6822.13"/>
    <n v="3673.45"/>
    <n v="65"/>
  </r>
  <r>
    <x v="3"/>
    <x v="1"/>
    <n v="11706.81"/>
    <n v="7609.43"/>
    <n v="4097.3799999999901"/>
    <n v="65"/>
  </r>
  <r>
    <x v="3"/>
    <x v="1"/>
    <n v="11528.13"/>
    <n v="7493.28"/>
    <n v="4034.8499999999899"/>
    <n v="65"/>
  </r>
  <r>
    <x v="3"/>
    <x v="0"/>
    <n v="13741.98"/>
    <n v="7558.09"/>
    <n v="6183.8899999999903"/>
    <n v="55"/>
  </r>
  <r>
    <x v="3"/>
    <x v="2"/>
    <n v="8537.81"/>
    <n v="7257.14"/>
    <n v="1280.6699999999901"/>
    <n v="85"/>
  </r>
  <r>
    <x v="3"/>
    <x v="1"/>
    <n v="11211.46"/>
    <n v="7287.45"/>
    <n v="3924.0099999999902"/>
    <n v="65"/>
  </r>
  <r>
    <x v="3"/>
    <x v="1"/>
    <n v="14529.31"/>
    <n v="9444.0499999999993"/>
    <n v="5085.26"/>
    <n v="65"/>
  </r>
  <r>
    <x v="3"/>
    <x v="2"/>
    <n v="11206.1"/>
    <n v="9525.18"/>
    <n v="1680.92"/>
    <n v="85"/>
  </r>
  <r>
    <x v="3"/>
    <x v="1"/>
    <n v="13860.92"/>
    <n v="9009.6"/>
    <n v="4851.32"/>
    <n v="65"/>
  </r>
  <r>
    <x v="3"/>
    <x v="1"/>
    <n v="8666.09"/>
    <n v="5632.96"/>
    <n v="3033.13"/>
    <n v="65"/>
  </r>
  <r>
    <x v="3"/>
    <x v="1"/>
    <n v="12891.55"/>
    <n v="8379.51"/>
    <n v="4512.03999999999"/>
    <n v="65"/>
  </r>
  <r>
    <x v="3"/>
    <x v="2"/>
    <n v="12920.67"/>
    <n v="10982.57"/>
    <n v="1938.1"/>
    <n v="85"/>
  </r>
  <r>
    <x v="3"/>
    <x v="2"/>
    <n v="5103.3500000000004"/>
    <n v="4337.8500000000004"/>
    <n v="765.5"/>
    <n v="85"/>
  </r>
  <r>
    <x v="3"/>
    <x v="1"/>
    <n v="10842.89"/>
    <n v="7047.88"/>
    <n v="3795.0099999999902"/>
    <n v="65"/>
  </r>
  <r>
    <x v="3"/>
    <x v="1"/>
    <n v="10511.78"/>
    <n v="6832.66"/>
    <n v="3679.12"/>
    <n v="65"/>
  </r>
  <r>
    <x v="3"/>
    <x v="0"/>
    <n v="12506.7"/>
    <n v="6878.69"/>
    <n v="5628.01"/>
    <n v="55"/>
  </r>
  <r>
    <x v="3"/>
    <x v="0"/>
    <n v="10541.59"/>
    <n v="5797.87"/>
    <n v="4743.72"/>
    <n v="55"/>
  </r>
  <r>
    <x v="3"/>
    <x v="2"/>
    <n v="17930.71"/>
    <n v="15241.1"/>
    <n v="2689.6099999999901"/>
    <n v="85"/>
  </r>
  <r>
    <x v="3"/>
    <x v="1"/>
    <n v="15346.49"/>
    <n v="9975.2199999999993"/>
    <n v="5371.27"/>
    <n v="65"/>
  </r>
  <r>
    <x v="3"/>
    <x v="3"/>
    <n v="11770.82"/>
    <n v="2942.7"/>
    <n v="8828.1199999999899"/>
    <n v="25"/>
  </r>
  <r>
    <x v="3"/>
    <x v="2"/>
    <n v="10750.73"/>
    <n v="9138.1200000000008"/>
    <n v="1612.6099999999899"/>
    <n v="85"/>
  </r>
  <r>
    <x v="3"/>
    <x v="2"/>
    <n v="6580.74"/>
    <n v="5593.63"/>
    <n v="987.10999999999899"/>
    <n v="85"/>
  </r>
  <r>
    <x v="3"/>
    <x v="0"/>
    <n v="10551.65"/>
    <n v="5803.41"/>
    <n v="4748.24"/>
    <n v="55"/>
  </r>
  <r>
    <x v="3"/>
    <x v="3"/>
    <n v="10300.290000000001"/>
    <n v="2575.0700000000002"/>
    <n v="7725.22"/>
    <n v="25"/>
  </r>
  <r>
    <x v="3"/>
    <x v="0"/>
    <n v="17616.07"/>
    <n v="9688.84"/>
    <n v="7927.23"/>
    <n v="55"/>
  </r>
  <r>
    <x v="3"/>
    <x v="0"/>
    <n v="11571.86"/>
    <n v="6364.52"/>
    <n v="5207.34"/>
    <n v="55"/>
  </r>
  <r>
    <x v="3"/>
    <x v="1"/>
    <n v="13212.99"/>
    <n v="8588.44"/>
    <n v="4624.5499999999902"/>
    <n v="65"/>
  </r>
  <r>
    <x v="3"/>
    <x v="1"/>
    <n v="8251.6"/>
    <n v="5363.54"/>
    <n v="2888.06"/>
    <n v="65"/>
  </r>
  <r>
    <x v="3"/>
    <x v="1"/>
    <n v="12556.74"/>
    <n v="8161.88"/>
    <n v="4394.8599999999997"/>
    <n v="65"/>
  </r>
  <r>
    <x v="3"/>
    <x v="3"/>
    <n v="3037.79"/>
    <n v="759.45"/>
    <n v="2278.34"/>
    <n v="25"/>
  </r>
  <r>
    <x v="3"/>
    <x v="1"/>
    <n v="13810.38"/>
    <n v="8976.75"/>
    <n v="4833.6299999999901"/>
    <n v="65"/>
  </r>
  <r>
    <x v="3"/>
    <x v="0"/>
    <n v="7544.58"/>
    <n v="4149.5200000000004"/>
    <n v="3395.0599999999899"/>
    <n v="55"/>
  </r>
  <r>
    <x v="3"/>
    <x v="1"/>
    <n v="6623.74"/>
    <n v="4305.43"/>
    <n v="2318.3099999999899"/>
    <n v="65"/>
  </r>
  <r>
    <x v="3"/>
    <x v="1"/>
    <n v="9552.89"/>
    <n v="6209.38"/>
    <n v="3343.5099999999902"/>
    <n v="65"/>
  </r>
  <r>
    <x v="3"/>
    <x v="0"/>
    <n v="12413.32"/>
    <n v="6827.33"/>
    <n v="5585.99"/>
    <n v="55"/>
  </r>
  <r>
    <x v="3"/>
    <x v="0"/>
    <n v="9528.36"/>
    <n v="5240.6000000000004"/>
    <n v="4287.76"/>
    <n v="55"/>
  </r>
  <r>
    <x v="3"/>
    <x v="2"/>
    <n v="6948.42"/>
    <n v="5906.16"/>
    <n v="1042.26"/>
    <n v="85"/>
  </r>
  <r>
    <x v="3"/>
    <x v="3"/>
    <n v="11550.01"/>
    <n v="2887.5"/>
    <n v="8662.51"/>
    <n v="25"/>
  </r>
  <r>
    <x v="3"/>
    <x v="1"/>
    <n v="7602.67"/>
    <n v="4941.74"/>
    <n v="2660.93"/>
    <n v="65"/>
  </r>
  <r>
    <x v="3"/>
    <x v="3"/>
    <n v="9506.39"/>
    <n v="2376.6"/>
    <n v="7129.78999999999"/>
    <n v="25"/>
  </r>
  <r>
    <x v="3"/>
    <x v="0"/>
    <n v="7967.3"/>
    <n v="4382.0200000000004"/>
    <n v="3585.2799999999902"/>
    <n v="55"/>
  </r>
  <r>
    <x v="3"/>
    <x v="2"/>
    <n v="10447.86"/>
    <n v="8880.68"/>
    <n v="1567.18"/>
    <n v="85"/>
  </r>
  <r>
    <x v="3"/>
    <x v="1"/>
    <n v="9655.4699999999993"/>
    <n v="6276.06"/>
    <n v="3379.4099999999899"/>
    <n v="65"/>
  </r>
  <r>
    <x v="3"/>
    <x v="1"/>
    <n v="10465.11"/>
    <n v="6802.32"/>
    <n v="3662.79"/>
    <n v="65"/>
  </r>
  <r>
    <x v="3"/>
    <x v="1"/>
    <n v="17709.78"/>
    <n v="11511.36"/>
    <n v="6198.4199999999901"/>
    <n v="65"/>
  </r>
  <r>
    <x v="3"/>
    <x v="1"/>
    <n v="6678.69"/>
    <n v="4341.1499999999996"/>
    <n v="2337.54"/>
    <n v="65"/>
  </r>
  <r>
    <x v="3"/>
    <x v="2"/>
    <n v="14165.75"/>
    <n v="12040.89"/>
    <n v="2124.86"/>
    <n v="85"/>
  </r>
  <r>
    <x v="3"/>
    <x v="0"/>
    <n v="2021.95"/>
    <n v="1112.07"/>
    <n v="909.88"/>
    <n v="55"/>
  </r>
  <r>
    <x v="3"/>
    <x v="0"/>
    <n v="6467.41"/>
    <n v="3557.08"/>
    <n v="2910.33"/>
    <n v="55"/>
  </r>
  <r>
    <x v="3"/>
    <x v="1"/>
    <n v="10611.11"/>
    <n v="6897.22"/>
    <n v="3713.89"/>
    <n v="65"/>
  </r>
  <r>
    <x v="3"/>
    <x v="2"/>
    <n v="9550.3700000000008"/>
    <n v="8117.81"/>
    <n v="1432.56"/>
    <n v="85"/>
  </r>
  <r>
    <x v="3"/>
    <x v="1"/>
    <n v="11583.29"/>
    <n v="7529.14"/>
    <n v="4054.15"/>
    <n v="65"/>
  </r>
  <r>
    <x v="3"/>
    <x v="2"/>
    <n v="8914.33"/>
    <n v="7577.18"/>
    <n v="1337.1499999999901"/>
    <n v="85"/>
  </r>
  <r>
    <x v="3"/>
    <x v="1"/>
    <n v="9791.23"/>
    <n v="6364.3"/>
    <n v="3426.9299999999898"/>
    <n v="65"/>
  </r>
  <r>
    <x v="3"/>
    <x v="2"/>
    <n v="9732.34"/>
    <n v="8272.49"/>
    <n v="1459.85"/>
    <n v="85"/>
  </r>
  <r>
    <x v="3"/>
    <x v="1"/>
    <n v="10089.950000000001"/>
    <n v="6558.47"/>
    <n v="3531.48"/>
    <n v="65"/>
  </r>
  <r>
    <x v="3"/>
    <x v="1"/>
    <n v="10296.24"/>
    <n v="6692.56"/>
    <n v="3603.6799999999898"/>
    <n v="65"/>
  </r>
  <r>
    <x v="3"/>
    <x v="1"/>
    <n v="9608.9599999999991"/>
    <n v="6245.82"/>
    <n v="3363.1399999999899"/>
    <n v="65"/>
  </r>
  <r>
    <x v="3"/>
    <x v="2"/>
    <n v="8947.9599999999991"/>
    <n v="7605.77"/>
    <n v="1342.1899999999901"/>
    <n v="85"/>
  </r>
  <r>
    <x v="3"/>
    <x v="1"/>
    <n v="9312.35"/>
    <n v="6053.03"/>
    <n v="3259.32"/>
    <n v="65"/>
  </r>
  <r>
    <x v="3"/>
    <x v="2"/>
    <n v="10703.96"/>
    <n v="9098.3700000000008"/>
    <n v="1605.5899999999899"/>
    <n v="85"/>
  </r>
  <r>
    <x v="3"/>
    <x v="0"/>
    <n v="10758.27"/>
    <n v="5917.05"/>
    <n v="4841.22"/>
    <n v="55"/>
  </r>
  <r>
    <x v="3"/>
    <x v="2"/>
    <n v="8028.3"/>
    <n v="6824.06"/>
    <n v="1204.23999999999"/>
    <n v="85"/>
  </r>
  <r>
    <x v="3"/>
    <x v="2"/>
    <n v="7187.93"/>
    <n v="6109.74"/>
    <n v="1078.19"/>
    <n v="85"/>
  </r>
  <r>
    <x v="3"/>
    <x v="1"/>
    <n v="4990.66"/>
    <n v="3243.93"/>
    <n v="1746.73"/>
    <n v="65"/>
  </r>
  <r>
    <x v="3"/>
    <x v="2"/>
    <n v="15294.06"/>
    <n v="12999.95"/>
    <n v="2294.1099999999901"/>
    <n v="85"/>
  </r>
  <r>
    <x v="3"/>
    <x v="2"/>
    <n v="6275.5"/>
    <n v="5334.18"/>
    <n v="941.31999999999903"/>
    <n v="85"/>
  </r>
  <r>
    <x v="3"/>
    <x v="0"/>
    <n v="7551.08"/>
    <n v="4153.09"/>
    <n v="3397.99"/>
    <n v="55"/>
  </r>
  <r>
    <x v="3"/>
    <x v="2"/>
    <n v="12269.05"/>
    <n v="10428.69"/>
    <n v="1840.3599999999899"/>
    <n v="85"/>
  </r>
  <r>
    <x v="3"/>
    <x v="0"/>
    <n v="5760.93"/>
    <n v="3168.51"/>
    <n v="2592.42"/>
    <n v="55"/>
  </r>
  <r>
    <x v="3"/>
    <x v="2"/>
    <n v="4739.59"/>
    <n v="4028.65"/>
    <n v="710.94"/>
    <n v="85"/>
  </r>
  <r>
    <x v="3"/>
    <x v="3"/>
    <n v="8365.23"/>
    <n v="2091.31"/>
    <n v="6273.92"/>
    <n v="25"/>
  </r>
  <r>
    <x v="3"/>
    <x v="2"/>
    <n v="12915.47"/>
    <n v="10978.15"/>
    <n v="1937.3199999999899"/>
    <n v="85"/>
  </r>
  <r>
    <x v="3"/>
    <x v="2"/>
    <n v="9907.1299999999992"/>
    <n v="8421.06"/>
    <n v="1486.0699999999899"/>
    <n v="85"/>
  </r>
  <r>
    <x v="3"/>
    <x v="0"/>
    <n v="16465.72"/>
    <n v="9056.15"/>
    <n v="7409.57"/>
    <n v="55"/>
  </r>
  <r>
    <x v="3"/>
    <x v="1"/>
    <n v="12016.77"/>
    <n v="7810.9"/>
    <n v="4205.87"/>
    <n v="65"/>
  </r>
  <r>
    <x v="3"/>
    <x v="1"/>
    <n v="6134.66"/>
    <n v="3987.53"/>
    <n v="2147.1299999999901"/>
    <n v="65"/>
  </r>
  <r>
    <x v="3"/>
    <x v="1"/>
    <n v="10302.450000000001"/>
    <n v="6696.59"/>
    <n v="3605.86"/>
    <n v="65"/>
  </r>
  <r>
    <x v="4"/>
    <x v="1"/>
    <n v="5111.22"/>
    <n v="3322.29"/>
    <n v="1788.93"/>
    <n v="65"/>
  </r>
  <r>
    <x v="4"/>
    <x v="2"/>
    <n v="11655.59"/>
    <n v="9907.25"/>
    <n v="1748.34"/>
    <n v="85"/>
  </r>
  <r>
    <x v="4"/>
    <x v="2"/>
    <n v="8592.56"/>
    <n v="7303.68"/>
    <n v="1288.8799999999901"/>
    <n v="85"/>
  </r>
  <r>
    <x v="4"/>
    <x v="1"/>
    <n v="11580.81"/>
    <n v="7527.53"/>
    <n v="4053.2799999999902"/>
    <n v="65"/>
  </r>
  <r>
    <x v="4"/>
    <x v="1"/>
    <n v="14861.6"/>
    <n v="9660.0400000000009"/>
    <n v="5201.5599999999904"/>
    <n v="65"/>
  </r>
  <r>
    <x v="4"/>
    <x v="2"/>
    <n v="14711.48"/>
    <n v="12504.76"/>
    <n v="2206.7199999999898"/>
    <n v="85"/>
  </r>
  <r>
    <x v="4"/>
    <x v="1"/>
    <n v="9525.7000000000007"/>
    <n v="6191.71"/>
    <n v="3333.99"/>
    <n v="65"/>
  </r>
  <r>
    <x v="4"/>
    <x v="0"/>
    <n v="12419.78"/>
    <n v="6830.88"/>
    <n v="5588.9"/>
    <n v="55"/>
  </r>
  <r>
    <x v="4"/>
    <x v="0"/>
    <n v="8955.9599999999991"/>
    <n v="4925.78"/>
    <n v="4030.1799999999898"/>
    <n v="55"/>
  </r>
  <r>
    <x v="4"/>
    <x v="2"/>
    <n v="10595.68"/>
    <n v="9006.33"/>
    <n v="1589.35"/>
    <n v="85"/>
  </r>
  <r>
    <x v="4"/>
    <x v="1"/>
    <n v="5427.95"/>
    <n v="3528.17"/>
    <n v="1899.77999999999"/>
    <n v="65"/>
  </r>
  <r>
    <x v="4"/>
    <x v="0"/>
    <n v="7604.68"/>
    <n v="4182.57"/>
    <n v="3422.11"/>
    <n v="55"/>
  </r>
  <r>
    <x v="4"/>
    <x v="2"/>
    <n v="11721.9"/>
    <n v="9963.61"/>
    <n v="1758.28999999999"/>
    <n v="85"/>
  </r>
  <r>
    <x v="4"/>
    <x v="0"/>
    <n v="4739.28"/>
    <n v="2606.6"/>
    <n v="2132.6799999999998"/>
    <n v="55"/>
  </r>
  <r>
    <x v="4"/>
    <x v="2"/>
    <n v="10285.959999999999"/>
    <n v="8743.07"/>
    <n v="1542.8899999999901"/>
    <n v="85"/>
  </r>
  <r>
    <x v="4"/>
    <x v="1"/>
    <n v="10537.11"/>
    <n v="6849.12"/>
    <n v="3687.99"/>
    <n v="65"/>
  </r>
  <r>
    <x v="4"/>
    <x v="1"/>
    <n v="11822.7"/>
    <n v="7684.76"/>
    <n v="4137.9399999999996"/>
    <n v="65"/>
  </r>
  <r>
    <x v="4"/>
    <x v="1"/>
    <n v="5442.46"/>
    <n v="3537.6"/>
    <n v="1904.86"/>
    <n v="65"/>
  </r>
  <r>
    <x v="4"/>
    <x v="0"/>
    <n v="4931.33"/>
    <n v="2712.23"/>
    <n v="2219.1"/>
    <n v="55"/>
  </r>
  <r>
    <x v="4"/>
    <x v="2"/>
    <n v="12961.37"/>
    <n v="11017.16"/>
    <n v="1944.21"/>
    <n v="85"/>
  </r>
  <r>
    <x v="4"/>
    <x v="1"/>
    <n v="10539.54"/>
    <n v="6850.7"/>
    <n v="3688.84"/>
    <n v="65"/>
  </r>
  <r>
    <x v="4"/>
    <x v="0"/>
    <n v="8995.44"/>
    <n v="4947.49"/>
    <n v="4047.95"/>
    <n v="55"/>
  </r>
  <r>
    <x v="4"/>
    <x v="2"/>
    <n v="5326.14"/>
    <n v="4527.22"/>
    <n v="798.92"/>
    <n v="85"/>
  </r>
  <r>
    <x v="4"/>
    <x v="2"/>
    <n v="8798.86"/>
    <n v="7479.03"/>
    <n v="1319.83"/>
    <n v="85"/>
  </r>
  <r>
    <x v="4"/>
    <x v="2"/>
    <n v="6736.66"/>
    <n v="5726.16"/>
    <n v="1010.5"/>
    <n v="85"/>
  </r>
  <r>
    <x v="4"/>
    <x v="2"/>
    <n v="12788.45"/>
    <n v="10870.18"/>
    <n v="1918.27"/>
    <n v="85"/>
  </r>
  <r>
    <x v="4"/>
    <x v="0"/>
    <n v="6041.96"/>
    <n v="3323.08"/>
    <n v="2718.88"/>
    <n v="55"/>
  </r>
  <r>
    <x v="4"/>
    <x v="0"/>
    <n v="9321.26"/>
    <n v="5126.6899999999996"/>
    <n v="4194.57"/>
    <n v="55"/>
  </r>
  <r>
    <x v="4"/>
    <x v="2"/>
    <n v="12450.1"/>
    <n v="10582.58"/>
    <n v="1867.52"/>
    <n v="85"/>
  </r>
  <r>
    <x v="4"/>
    <x v="2"/>
    <n v="11855.99"/>
    <n v="10077.59"/>
    <n v="1778.3999999999901"/>
    <n v="85"/>
  </r>
  <r>
    <x v="4"/>
    <x v="2"/>
    <n v="8638.77"/>
    <n v="7342.95"/>
    <n v="1295.82"/>
    <n v="85"/>
  </r>
  <r>
    <x v="4"/>
    <x v="0"/>
    <n v="11898.82"/>
    <n v="6544.35"/>
    <n v="5354.4699999999903"/>
    <n v="55"/>
  </r>
  <r>
    <x v="4"/>
    <x v="1"/>
    <n v="12455.45"/>
    <n v="8096.04"/>
    <n v="4359.41"/>
    <n v="65"/>
  </r>
  <r>
    <x v="4"/>
    <x v="1"/>
    <n v="10401.540000000001"/>
    <n v="6761"/>
    <n v="3640.54"/>
    <n v="65"/>
  </r>
  <r>
    <x v="4"/>
    <x v="2"/>
    <n v="11339.92"/>
    <n v="9638.93"/>
    <n v="1700.98999999999"/>
    <n v="85"/>
  </r>
  <r>
    <x v="4"/>
    <x v="3"/>
    <n v="9360.18"/>
    <n v="2340.0500000000002"/>
    <n v="7020.13"/>
    <n v="25"/>
  </r>
  <r>
    <x v="4"/>
    <x v="3"/>
    <n v="13387.21"/>
    <n v="3346.8"/>
    <n v="10040.41"/>
    <n v="25"/>
  </r>
  <r>
    <x v="4"/>
    <x v="2"/>
    <n v="9758.75"/>
    <n v="8294.94"/>
    <n v="1463.8099999999899"/>
    <n v="85"/>
  </r>
  <r>
    <x v="4"/>
    <x v="1"/>
    <n v="5784.52"/>
    <n v="3759.94"/>
    <n v="2024.58"/>
    <n v="65"/>
  </r>
  <r>
    <x v="4"/>
    <x v="1"/>
    <n v="11503.1"/>
    <n v="7477.02"/>
    <n v="4026.08"/>
    <n v="65"/>
  </r>
  <r>
    <x v="4"/>
    <x v="1"/>
    <n v="6872.55"/>
    <n v="4467.16"/>
    <n v="2405.39"/>
    <n v="65"/>
  </r>
  <r>
    <x v="4"/>
    <x v="2"/>
    <n v="13833.78"/>
    <n v="11758.71"/>
    <n v="2075.0700000000002"/>
    <n v="85"/>
  </r>
  <r>
    <x v="4"/>
    <x v="1"/>
    <n v="11237.71"/>
    <n v="7304.51"/>
    <n v="3933.1999999999898"/>
    <n v="65"/>
  </r>
  <r>
    <x v="4"/>
    <x v="2"/>
    <n v="4210.95"/>
    <n v="3579.31"/>
    <n v="631.63999999999896"/>
    <n v="85"/>
  </r>
  <r>
    <x v="4"/>
    <x v="1"/>
    <n v="12603.3"/>
    <n v="8192.15"/>
    <n v="4411.1499999999996"/>
    <n v="65"/>
  </r>
  <r>
    <x v="4"/>
    <x v="2"/>
    <n v="10849.1"/>
    <n v="9221.74"/>
    <n v="1627.36"/>
    <n v="85"/>
  </r>
  <r>
    <x v="4"/>
    <x v="1"/>
    <n v="12140.2"/>
    <n v="7891.13"/>
    <n v="4249.07"/>
    <n v="65"/>
  </r>
  <r>
    <x v="4"/>
    <x v="2"/>
    <n v="10141.049999999999"/>
    <n v="8619.89"/>
    <n v="1521.1599999999901"/>
    <n v="85"/>
  </r>
  <r>
    <x v="4"/>
    <x v="3"/>
    <n v="13669.51"/>
    <n v="3417.38"/>
    <n v="10252.129999999999"/>
    <n v="25"/>
  </r>
  <r>
    <x v="4"/>
    <x v="0"/>
    <n v="7949.7"/>
    <n v="4372.34"/>
    <n v="3577.3599999999901"/>
    <n v="55"/>
  </r>
  <r>
    <x v="4"/>
    <x v="0"/>
    <n v="12759.48"/>
    <n v="7017.71"/>
    <n v="5741.7699999999904"/>
    <n v="55"/>
  </r>
  <r>
    <x v="4"/>
    <x v="3"/>
    <n v="10941.59"/>
    <n v="2735.4"/>
    <n v="8206.19"/>
    <n v="25"/>
  </r>
  <r>
    <x v="4"/>
    <x v="2"/>
    <n v="4954.54"/>
    <n v="4211.3599999999997"/>
    <n v="743.18"/>
    <n v="85"/>
  </r>
  <r>
    <x v="4"/>
    <x v="2"/>
    <n v="4724.2"/>
    <n v="4015.57"/>
    <n v="708.62999999999897"/>
    <n v="85"/>
  </r>
  <r>
    <x v="4"/>
    <x v="1"/>
    <n v="9098.92"/>
    <n v="5914.3"/>
    <n v="3184.62"/>
    <n v="65"/>
  </r>
  <r>
    <x v="4"/>
    <x v="1"/>
    <n v="7585.64"/>
    <n v="4930.67"/>
    <n v="2654.97"/>
    <n v="65"/>
  </r>
  <r>
    <x v="4"/>
    <x v="1"/>
    <n v="4198.97"/>
    <n v="2729.33"/>
    <n v="1469.64"/>
    <n v="65"/>
  </r>
  <r>
    <x v="4"/>
    <x v="2"/>
    <n v="6377.81"/>
    <n v="5421.14"/>
    <n v="956.67"/>
    <n v="85"/>
  </r>
  <r>
    <x v="4"/>
    <x v="1"/>
    <n v="9502.83"/>
    <n v="6176.84"/>
    <n v="3325.99"/>
    <n v="65"/>
  </r>
  <r>
    <x v="4"/>
    <x v="2"/>
    <n v="7523.25"/>
    <n v="6394.76"/>
    <n v="1128.48999999999"/>
    <n v="85"/>
  </r>
  <r>
    <x v="4"/>
    <x v="3"/>
    <n v="16929.169999999998"/>
    <n v="4232.29"/>
    <n v="12696.879999999899"/>
    <n v="25"/>
  </r>
  <r>
    <x v="4"/>
    <x v="1"/>
    <n v="8008.31"/>
    <n v="5205.3999999999996"/>
    <n v="2802.91"/>
    <n v="65"/>
  </r>
  <r>
    <x v="4"/>
    <x v="3"/>
    <n v="13501.31"/>
    <n v="3375.33"/>
    <n v="10125.98"/>
    <n v="25"/>
  </r>
  <r>
    <x v="4"/>
    <x v="0"/>
    <n v="14863.33"/>
    <n v="8174.83"/>
    <n v="6688.5"/>
    <n v="55"/>
  </r>
  <r>
    <x v="4"/>
    <x v="1"/>
    <n v="8447.4"/>
    <n v="5490.81"/>
    <n v="2956.5899999999901"/>
    <n v="65"/>
  </r>
  <r>
    <x v="4"/>
    <x v="1"/>
    <n v="8203.23"/>
    <n v="5332.1"/>
    <n v="2871.1299999999901"/>
    <n v="65"/>
  </r>
  <r>
    <x v="4"/>
    <x v="2"/>
    <n v="8512.09"/>
    <n v="7235.28"/>
    <n v="1276.81"/>
    <n v="85"/>
  </r>
  <r>
    <x v="4"/>
    <x v="3"/>
    <n v="9495.66"/>
    <n v="2373.91"/>
    <n v="7121.75"/>
    <n v="25"/>
  </r>
  <r>
    <x v="4"/>
    <x v="2"/>
    <n v="8879.7999999999993"/>
    <n v="7547.83"/>
    <n v="1331.96999999999"/>
    <n v="85"/>
  </r>
  <r>
    <x v="4"/>
    <x v="2"/>
    <n v="6479.29"/>
    <n v="5507.4"/>
    <n v="971.89"/>
    <n v="85"/>
  </r>
  <r>
    <x v="4"/>
    <x v="2"/>
    <n v="11030.86"/>
    <n v="9376.23"/>
    <n v="1654.63"/>
    <n v="85"/>
  </r>
  <r>
    <x v="4"/>
    <x v="1"/>
    <n v="8870.34"/>
    <n v="5765.72"/>
    <n v="3104.62"/>
    <n v="65"/>
  </r>
  <r>
    <x v="4"/>
    <x v="1"/>
    <n v="17072.13"/>
    <n v="11096.88"/>
    <n v="5975.25"/>
    <n v="65"/>
  </r>
  <r>
    <x v="4"/>
    <x v="2"/>
    <n v="12813.51"/>
    <n v="10891.48"/>
    <n v="1922.03"/>
    <n v="85"/>
  </r>
  <r>
    <x v="4"/>
    <x v="1"/>
    <n v="8912.39"/>
    <n v="5793.05"/>
    <n v="3119.3399999999901"/>
    <n v="65"/>
  </r>
  <r>
    <x v="4"/>
    <x v="1"/>
    <n v="11751.4"/>
    <n v="7638.41"/>
    <n v="4112.99"/>
    <n v="65"/>
  </r>
  <r>
    <x v="4"/>
    <x v="2"/>
    <n v="11630.5"/>
    <n v="9885.92"/>
    <n v="1744.58"/>
    <n v="85"/>
  </r>
  <r>
    <x v="4"/>
    <x v="2"/>
    <n v="13250.83"/>
    <n v="11263.21"/>
    <n v="1987.62"/>
    <n v="85"/>
  </r>
  <r>
    <x v="4"/>
    <x v="1"/>
    <n v="4754.3599999999997"/>
    <n v="3090.33"/>
    <n v="1664.02999999999"/>
    <n v="65"/>
  </r>
  <r>
    <x v="4"/>
    <x v="1"/>
    <n v="6227.98"/>
    <n v="4048.19"/>
    <n v="2179.78999999999"/>
    <n v="65"/>
  </r>
  <r>
    <x v="4"/>
    <x v="2"/>
    <n v="7477.27"/>
    <n v="6355.68"/>
    <n v="1121.5899999999999"/>
    <n v="85"/>
  </r>
  <r>
    <x v="4"/>
    <x v="1"/>
    <n v="9975.17"/>
    <n v="6483.86"/>
    <n v="3491.31"/>
    <n v="65"/>
  </r>
  <r>
    <x v="4"/>
    <x v="2"/>
    <n v="1000"/>
    <n v="850"/>
    <n v="150"/>
    <n v="85"/>
  </r>
  <r>
    <x v="4"/>
    <x v="2"/>
    <n v="7389.33"/>
    <n v="6280.93"/>
    <n v="1108.3999999999901"/>
    <n v="85"/>
  </r>
  <r>
    <x v="4"/>
    <x v="2"/>
    <n v="13971.62"/>
    <n v="11875.88"/>
    <n v="2095.7399999999998"/>
    <n v="85"/>
  </r>
  <r>
    <x v="4"/>
    <x v="2"/>
    <n v="6604.55"/>
    <n v="5613.87"/>
    <n v="990.68"/>
    <n v="85"/>
  </r>
  <r>
    <x v="4"/>
    <x v="1"/>
    <n v="10720.07"/>
    <n v="6968.05"/>
    <n v="3752.01999999999"/>
    <n v="65"/>
  </r>
  <r>
    <x v="4"/>
    <x v="2"/>
    <n v="10916.66"/>
    <n v="9279.16"/>
    <n v="1637.5"/>
    <n v="85"/>
  </r>
  <r>
    <x v="4"/>
    <x v="2"/>
    <n v="11216.85"/>
    <n v="9534.32"/>
    <n v="1682.53"/>
    <n v="85"/>
  </r>
  <r>
    <x v="4"/>
    <x v="2"/>
    <n v="12145.02"/>
    <n v="10323.27"/>
    <n v="1821.75"/>
    <n v="85"/>
  </r>
  <r>
    <x v="4"/>
    <x v="2"/>
    <n v="13025.56"/>
    <n v="11071.73"/>
    <n v="1953.83"/>
    <n v="85"/>
  </r>
  <r>
    <x v="4"/>
    <x v="2"/>
    <n v="14595.07"/>
    <n v="12405.81"/>
    <n v="2189.2600000000002"/>
    <n v="85"/>
  </r>
  <r>
    <x v="4"/>
    <x v="1"/>
    <n v="8889.0300000000007"/>
    <n v="5777.87"/>
    <n v="3111.16"/>
    <n v="65"/>
  </r>
  <r>
    <x v="4"/>
    <x v="2"/>
    <n v="7499.32"/>
    <n v="6374.42"/>
    <n v="1124.8999999999901"/>
    <n v="85"/>
  </r>
  <r>
    <x v="4"/>
    <x v="1"/>
    <n v="11254.76"/>
    <n v="7315.59"/>
    <n v="3939.17"/>
    <n v="65"/>
  </r>
  <r>
    <x v="4"/>
    <x v="0"/>
    <n v="11201.24"/>
    <n v="6160.68"/>
    <n v="5040.5599999999904"/>
    <n v="55"/>
  </r>
  <r>
    <x v="4"/>
    <x v="1"/>
    <n v="12453.26"/>
    <n v="8094.62"/>
    <n v="4358.6400000000003"/>
    <n v="65"/>
  </r>
  <r>
    <x v="4"/>
    <x v="3"/>
    <n v="5531.82"/>
    <n v="1382.95"/>
    <n v="4148.87"/>
    <n v="25"/>
  </r>
  <r>
    <x v="4"/>
    <x v="2"/>
    <n v="12259.91"/>
    <n v="10420.92"/>
    <n v="1838.98999999999"/>
    <n v="85"/>
  </r>
  <r>
    <x v="4"/>
    <x v="0"/>
    <n v="5949.25"/>
    <n v="3272.09"/>
    <n v="2677.16"/>
    <n v="55"/>
  </r>
  <r>
    <x v="5"/>
    <x v="2"/>
    <n v="10799.74"/>
    <n v="9179.7800000000007"/>
    <n v="1619.95999999999"/>
    <n v="85"/>
  </r>
  <r>
    <x v="5"/>
    <x v="0"/>
    <n v="8795.86"/>
    <n v="4837.72"/>
    <n v="3958.14"/>
    <n v="55"/>
  </r>
  <r>
    <x v="5"/>
    <x v="3"/>
    <n v="13626.95"/>
    <n v="3406.74"/>
    <n v="10220.209999999999"/>
    <n v="25"/>
  </r>
  <r>
    <x v="5"/>
    <x v="3"/>
    <n v="5675.52"/>
    <n v="1418.88"/>
    <n v="4256.6400000000003"/>
    <n v="25"/>
  </r>
  <r>
    <x v="5"/>
    <x v="1"/>
    <n v="10526.64"/>
    <n v="6842.32"/>
    <n v="3684.3199999999902"/>
    <n v="65"/>
  </r>
  <r>
    <x v="5"/>
    <x v="1"/>
    <n v="11225.54"/>
    <n v="7296.6"/>
    <n v="3928.94"/>
    <n v="65"/>
  </r>
  <r>
    <x v="5"/>
    <x v="1"/>
    <n v="8911.1299999999992"/>
    <n v="5792.23"/>
    <n v="3118.8999999999901"/>
    <n v="65"/>
  </r>
  <r>
    <x v="5"/>
    <x v="2"/>
    <n v="10523.92"/>
    <n v="8945.33"/>
    <n v="1578.59"/>
    <n v="85"/>
  </r>
  <r>
    <x v="5"/>
    <x v="1"/>
    <n v="8559.6"/>
    <n v="5563.74"/>
    <n v="2995.86"/>
    <n v="65"/>
  </r>
  <r>
    <x v="5"/>
    <x v="2"/>
    <n v="10383.41"/>
    <n v="8825.9"/>
    <n v="1557.51"/>
    <n v="85"/>
  </r>
  <r>
    <x v="5"/>
    <x v="3"/>
    <n v="11101.31"/>
    <n v="2775.33"/>
    <n v="8325.98"/>
    <n v="25"/>
  </r>
  <r>
    <x v="5"/>
    <x v="1"/>
    <n v="8422.58"/>
    <n v="5474.68"/>
    <n v="2947.8999999999901"/>
    <n v="65"/>
  </r>
  <r>
    <x v="5"/>
    <x v="1"/>
    <n v="9606.8799999999992"/>
    <n v="6244.47"/>
    <n v="3362.4099999999899"/>
    <n v="65"/>
  </r>
  <r>
    <x v="5"/>
    <x v="2"/>
    <n v="3894.28"/>
    <n v="3310.14"/>
    <n v="584.14"/>
    <n v="85"/>
  </r>
  <r>
    <x v="5"/>
    <x v="2"/>
    <n v="4897.0200000000004"/>
    <n v="4162.47"/>
    <n v="734.55"/>
    <n v="85"/>
  </r>
  <r>
    <x v="5"/>
    <x v="3"/>
    <n v="8780.52"/>
    <n v="2195.13"/>
    <n v="6585.39"/>
    <n v="25"/>
  </r>
  <r>
    <x v="5"/>
    <x v="0"/>
    <n v="6310.39"/>
    <n v="3470.71"/>
    <n v="2839.68"/>
    <n v="55"/>
  </r>
  <r>
    <x v="5"/>
    <x v="2"/>
    <n v="9466.7800000000007"/>
    <n v="8046.76"/>
    <n v="1420.02"/>
    <n v="85"/>
  </r>
  <r>
    <x v="5"/>
    <x v="2"/>
    <n v="13365.56"/>
    <n v="11360.73"/>
    <n v="2004.83"/>
    <n v="85"/>
  </r>
  <r>
    <x v="5"/>
    <x v="1"/>
    <n v="13931.63"/>
    <n v="9055.56"/>
    <n v="4876.07"/>
    <n v="65"/>
  </r>
  <r>
    <x v="5"/>
    <x v="3"/>
    <n v="9332.76"/>
    <n v="2333.19"/>
    <n v="6999.57"/>
    <n v="25"/>
  </r>
  <r>
    <x v="5"/>
    <x v="3"/>
    <n v="6559.12"/>
    <n v="1639.78"/>
    <n v="4919.34"/>
    <n v="25"/>
  </r>
  <r>
    <x v="5"/>
    <x v="0"/>
    <n v="6318.22"/>
    <n v="3475.02"/>
    <n v="2843.2"/>
    <n v="55"/>
  </r>
  <r>
    <x v="5"/>
    <x v="1"/>
    <n v="14980.41"/>
    <n v="9737.27"/>
    <n v="5243.1399999999903"/>
    <n v="65"/>
  </r>
  <r>
    <x v="5"/>
    <x v="3"/>
    <n v="12693.67"/>
    <n v="3173.42"/>
    <n v="9520.25"/>
    <n v="25"/>
  </r>
  <r>
    <x v="5"/>
    <x v="1"/>
    <n v="9380.2999999999993"/>
    <n v="6097.19"/>
    <n v="3283.1099999999901"/>
    <n v="65"/>
  </r>
  <r>
    <x v="5"/>
    <x v="1"/>
    <n v="10222.620000000001"/>
    <n v="6644.7"/>
    <n v="3577.92"/>
    <n v="65"/>
  </r>
  <r>
    <x v="5"/>
    <x v="0"/>
    <n v="9311.7900000000009"/>
    <n v="5121.4799999999996"/>
    <n v="4190.3100000000004"/>
    <n v="55"/>
  </r>
  <r>
    <x v="5"/>
    <x v="2"/>
    <n v="11516.51"/>
    <n v="9789.0300000000007"/>
    <n v="1727.47999999999"/>
    <n v="85"/>
  </r>
  <r>
    <x v="5"/>
    <x v="1"/>
    <n v="9913.23"/>
    <n v="6443.6"/>
    <n v="3469.6299999999901"/>
    <n v="65"/>
  </r>
  <r>
    <x v="5"/>
    <x v="2"/>
    <n v="12123.15"/>
    <n v="10304.68"/>
    <n v="1818.46999999999"/>
    <n v="85"/>
  </r>
  <r>
    <x v="5"/>
    <x v="2"/>
    <n v="12167.62"/>
    <n v="10342.48"/>
    <n v="1825.14"/>
    <n v="85"/>
  </r>
  <r>
    <x v="5"/>
    <x v="2"/>
    <n v="7166.89"/>
    <n v="6091.86"/>
    <n v="1075.03"/>
    <n v="85"/>
  </r>
  <r>
    <x v="5"/>
    <x v="1"/>
    <n v="10969.74"/>
    <n v="7130.33"/>
    <n v="3839.41"/>
    <n v="65"/>
  </r>
  <r>
    <x v="5"/>
    <x v="3"/>
    <n v="13747.61"/>
    <n v="3436.9"/>
    <n v="10310.709999999999"/>
    <n v="25"/>
  </r>
  <r>
    <x v="5"/>
    <x v="0"/>
    <n v="11474.21"/>
    <n v="6310.82"/>
    <n v="5163.3899999999903"/>
    <n v="55"/>
  </r>
  <r>
    <x v="5"/>
    <x v="1"/>
    <n v="11124.93"/>
    <n v="7231.2"/>
    <n v="3893.73"/>
    <n v="65"/>
  </r>
  <r>
    <x v="5"/>
    <x v="0"/>
    <n v="7727.8"/>
    <n v="4250.29"/>
    <n v="3477.51"/>
    <n v="55"/>
  </r>
  <r>
    <x v="5"/>
    <x v="1"/>
    <n v="7777.5"/>
    <n v="5055.38"/>
    <n v="2722.12"/>
    <n v="65"/>
  </r>
  <r>
    <x v="5"/>
    <x v="2"/>
    <n v="9957.1299999999992"/>
    <n v="8463.56"/>
    <n v="1493.5699999999899"/>
    <n v="85"/>
  </r>
  <r>
    <x v="5"/>
    <x v="1"/>
    <n v="8096.18"/>
    <n v="5262.52"/>
    <n v="2833.66"/>
    <n v="65"/>
  </r>
  <r>
    <x v="5"/>
    <x v="0"/>
    <n v="12987.26"/>
    <n v="7142.99"/>
    <n v="5844.27"/>
    <n v="55"/>
  </r>
  <r>
    <x v="5"/>
    <x v="1"/>
    <n v="9480.9"/>
    <n v="6162.59"/>
    <n v="3318.3099999999899"/>
    <n v="65"/>
  </r>
  <r>
    <x v="5"/>
    <x v="0"/>
    <n v="7935.52"/>
    <n v="4364.54"/>
    <n v="3570.98"/>
    <n v="55"/>
  </r>
  <r>
    <x v="5"/>
    <x v="2"/>
    <n v="13070.56"/>
    <n v="11109.98"/>
    <n v="1960.58"/>
    <n v="85"/>
  </r>
  <r>
    <x v="5"/>
    <x v="2"/>
    <n v="6719.11"/>
    <n v="5711.24"/>
    <n v="1007.86999999999"/>
    <n v="85"/>
  </r>
  <r>
    <x v="5"/>
    <x v="2"/>
    <n v="9927.4699999999993"/>
    <n v="8438.35"/>
    <n v="1489.1199999999899"/>
    <n v="85"/>
  </r>
  <r>
    <x v="5"/>
    <x v="1"/>
    <n v="8286.99"/>
    <n v="5386.54"/>
    <n v="2900.45"/>
    <n v="65"/>
  </r>
  <r>
    <x v="5"/>
    <x v="1"/>
    <n v="17206.080000000002"/>
    <n v="11183.95"/>
    <n v="6022.13"/>
    <n v="65"/>
  </r>
  <r>
    <x v="5"/>
    <x v="2"/>
    <n v="9932.19"/>
    <n v="8442.36"/>
    <n v="1489.83"/>
    <n v="85"/>
  </r>
  <r>
    <x v="5"/>
    <x v="2"/>
    <n v="7371.04"/>
    <n v="6265.38"/>
    <n v="1105.6599999999901"/>
    <n v="85"/>
  </r>
  <r>
    <x v="5"/>
    <x v="0"/>
    <n v="10112.98"/>
    <n v="5562.14"/>
    <n v="4550.8399999999901"/>
    <n v="55"/>
  </r>
  <r>
    <x v="5"/>
    <x v="1"/>
    <n v="9462.9599999999991"/>
    <n v="6150.92"/>
    <n v="3312.03999999999"/>
    <n v="65"/>
  </r>
  <r>
    <x v="5"/>
    <x v="1"/>
    <n v="7804.37"/>
    <n v="5072.84"/>
    <n v="2731.5299999999902"/>
    <n v="65"/>
  </r>
  <r>
    <x v="5"/>
    <x v="2"/>
    <n v="12966.65"/>
    <n v="11021.65"/>
    <n v="1945"/>
    <n v="85"/>
  </r>
  <r>
    <x v="5"/>
    <x v="1"/>
    <n v="11869.93"/>
    <n v="7715.45"/>
    <n v="4154.4799999999996"/>
    <n v="65"/>
  </r>
  <r>
    <x v="5"/>
    <x v="1"/>
    <n v="10826.53"/>
    <n v="7037.24"/>
    <n v="3789.29"/>
    <n v="65"/>
  </r>
  <r>
    <x v="5"/>
    <x v="2"/>
    <n v="7604.36"/>
    <n v="6463.71"/>
    <n v="1140.6499999999901"/>
    <n v="85"/>
  </r>
  <r>
    <x v="5"/>
    <x v="1"/>
    <n v="15435.94"/>
    <n v="10033.36"/>
    <n v="5402.58"/>
    <n v="65"/>
  </r>
  <r>
    <x v="5"/>
    <x v="2"/>
    <n v="11073.78"/>
    <n v="9412.7099999999991"/>
    <n v="1661.07"/>
    <n v="85"/>
  </r>
  <r>
    <x v="5"/>
    <x v="2"/>
    <n v="8261.61"/>
    <n v="7022.37"/>
    <n v="1239.24"/>
    <n v="85"/>
  </r>
  <r>
    <x v="5"/>
    <x v="2"/>
    <n v="13267.03"/>
    <n v="11276.98"/>
    <n v="1990.05"/>
    <n v="85"/>
  </r>
  <r>
    <x v="5"/>
    <x v="1"/>
    <n v="10343.6"/>
    <n v="6723.34"/>
    <n v="3620.26"/>
    <n v="65"/>
  </r>
  <r>
    <x v="5"/>
    <x v="2"/>
    <n v="12850.44"/>
    <n v="10922.87"/>
    <n v="1927.5699999999899"/>
    <n v="85"/>
  </r>
  <r>
    <x v="5"/>
    <x v="0"/>
    <n v="11204.03"/>
    <n v="6162.22"/>
    <n v="5041.8100000000004"/>
    <n v="55"/>
  </r>
  <r>
    <x v="5"/>
    <x v="2"/>
    <n v="16547.52"/>
    <n v="14065.39"/>
    <n v="2482.13"/>
    <n v="85"/>
  </r>
  <r>
    <x v="5"/>
    <x v="1"/>
    <n v="6905.27"/>
    <n v="4488.43"/>
    <n v="2416.84"/>
    <n v="65"/>
  </r>
  <r>
    <x v="5"/>
    <x v="2"/>
    <n v="8412.11"/>
    <n v="7150.29"/>
    <n v="1261.82"/>
    <n v="85"/>
  </r>
  <r>
    <x v="5"/>
    <x v="2"/>
    <n v="18895.03"/>
    <n v="16060.78"/>
    <n v="2834.24999999999"/>
    <n v="85"/>
  </r>
  <r>
    <x v="5"/>
    <x v="2"/>
    <n v="9710.11"/>
    <n v="8253.59"/>
    <n v="1456.52"/>
    <n v="85"/>
  </r>
  <r>
    <x v="5"/>
    <x v="1"/>
    <n v="6616.52"/>
    <n v="4300.74"/>
    <n v="2315.7800000000002"/>
    <n v="65"/>
  </r>
  <r>
    <x v="5"/>
    <x v="2"/>
    <n v="11692.83"/>
    <n v="9938.91"/>
    <n v="1753.92"/>
    <n v="85"/>
  </r>
  <r>
    <x v="5"/>
    <x v="1"/>
    <n v="13273.14"/>
    <n v="8627.5400000000009"/>
    <n v="4645.5999999999904"/>
    <n v="65"/>
  </r>
  <r>
    <x v="5"/>
    <x v="2"/>
    <n v="9667.7999999999993"/>
    <n v="8217.6299999999992"/>
    <n v="1450.17"/>
    <n v="85"/>
  </r>
  <r>
    <x v="5"/>
    <x v="2"/>
    <n v="4407.01"/>
    <n v="3745.96"/>
    <n v="661.05"/>
    <n v="85"/>
  </r>
  <r>
    <x v="5"/>
    <x v="0"/>
    <n v="7295.2"/>
    <n v="4012.36"/>
    <n v="3282.8399999999901"/>
    <n v="55"/>
  </r>
  <r>
    <x v="5"/>
    <x v="3"/>
    <n v="5314.58"/>
    <n v="1328.64"/>
    <n v="3985.9399999999901"/>
    <n v="25"/>
  </r>
  <r>
    <x v="5"/>
    <x v="2"/>
    <n v="16005.21"/>
    <n v="13604.43"/>
    <n v="2400.7799999999902"/>
    <n v="85"/>
  </r>
  <r>
    <x v="5"/>
    <x v="0"/>
    <n v="5101.1400000000003"/>
    <n v="2805.63"/>
    <n v="2295.5100000000002"/>
    <n v="55"/>
  </r>
  <r>
    <x v="5"/>
    <x v="2"/>
    <n v="8281.69"/>
    <n v="7039.44"/>
    <n v="1242.25"/>
    <n v="85"/>
  </r>
  <r>
    <x v="5"/>
    <x v="3"/>
    <n v="11598.58"/>
    <n v="2899.64"/>
    <n v="8698.94"/>
    <n v="25"/>
  </r>
  <r>
    <x v="5"/>
    <x v="2"/>
    <n v="6238.58"/>
    <n v="5302.79"/>
    <n v="935.79"/>
    <n v="85"/>
  </r>
  <r>
    <x v="5"/>
    <x v="2"/>
    <n v="11204.88"/>
    <n v="9524.15"/>
    <n v="1680.72999999999"/>
    <n v="85"/>
  </r>
  <r>
    <x v="5"/>
    <x v="3"/>
    <n v="7943.17"/>
    <n v="1985.79"/>
    <n v="5957.38"/>
    <n v="25"/>
  </r>
  <r>
    <x v="5"/>
    <x v="1"/>
    <n v="10971.4"/>
    <n v="7131.41"/>
    <n v="3839.99"/>
    <n v="65"/>
  </r>
  <r>
    <x v="5"/>
    <x v="0"/>
    <n v="9125.5300000000007"/>
    <n v="5019.04"/>
    <n v="4106.49"/>
    <n v="55"/>
  </r>
  <r>
    <x v="5"/>
    <x v="1"/>
    <n v="9529.81"/>
    <n v="6194.38"/>
    <n v="3335.4299999999898"/>
    <n v="65"/>
  </r>
  <r>
    <x v="5"/>
    <x v="0"/>
    <n v="13187.2"/>
    <n v="7252.96"/>
    <n v="5934.24"/>
    <n v="55"/>
  </r>
  <r>
    <x v="5"/>
    <x v="0"/>
    <n v="6533.3"/>
    <n v="3593.32"/>
    <n v="2939.98"/>
    <n v="55"/>
  </r>
  <r>
    <x v="5"/>
    <x v="0"/>
    <n v="10957.67"/>
    <n v="6026.72"/>
    <n v="4930.95"/>
    <n v="55"/>
  </r>
  <r>
    <x v="5"/>
    <x v="3"/>
    <n v="12421.88"/>
    <n v="3105.47"/>
    <n v="9316.41"/>
    <n v="25"/>
  </r>
  <r>
    <x v="5"/>
    <x v="1"/>
    <n v="6262.7"/>
    <n v="4070.76"/>
    <n v="2191.9399999999901"/>
    <n v="65"/>
  </r>
  <r>
    <x v="5"/>
    <x v="2"/>
    <n v="5332.3"/>
    <n v="4532.45"/>
    <n v="799.85"/>
    <n v="85"/>
  </r>
  <r>
    <x v="5"/>
    <x v="1"/>
    <n v="9182.81"/>
    <n v="5968.83"/>
    <n v="3213.97999999999"/>
    <n v="65"/>
  </r>
  <r>
    <x v="5"/>
    <x v="1"/>
    <n v="3714.53"/>
    <n v="2414.44"/>
    <n v="1300.0899999999999"/>
    <n v="65"/>
  </r>
  <r>
    <x v="5"/>
    <x v="2"/>
    <n v="10762.52"/>
    <n v="9148.14"/>
    <n v="1614.38"/>
    <n v="85"/>
  </r>
  <r>
    <x v="5"/>
    <x v="0"/>
    <n v="11946.77"/>
    <n v="6570.72"/>
    <n v="5376.05"/>
    <n v="55"/>
  </r>
  <r>
    <x v="5"/>
    <x v="2"/>
    <n v="5824.01"/>
    <n v="4950.41"/>
    <n v="873.6"/>
    <n v="85"/>
  </r>
  <r>
    <x v="5"/>
    <x v="1"/>
    <n v="12541.24"/>
    <n v="8151.81"/>
    <n v="4389.4299999999903"/>
    <n v="65"/>
  </r>
  <r>
    <x v="5"/>
    <x v="0"/>
    <n v="13667.5"/>
    <n v="7517.13"/>
    <n v="6150.37"/>
    <n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7C3C7-F28B-084A-B7A9-4D9DAC2531E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2" firstHeaderRow="0" firstDataRow="1" firstDataCol="1"/>
  <pivotFields count="6">
    <pivotField axis="axisRow" showAll="0">
      <items count="7">
        <item x="1"/>
        <item x="0"/>
        <item x="5"/>
        <item x="3"/>
        <item x="2"/>
        <item x="4"/>
        <item t="default"/>
      </items>
    </pivotField>
    <pivotField axis="axisRow" dataField="1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showAll="0"/>
    <pivotField showAll="0"/>
  </pivotFields>
  <rowFields count="2">
    <field x="1"/>
    <field x="0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Charge" fld="2" subtotal="average" baseField="0" baseItem="0"/>
    <dataField name="Avg Reimb" fld="3" subtotal="average" baseField="0" baseItem="0"/>
    <dataField name="Encounter Cou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2FC2-4002-8C43-902C-1320DB33200F}">
  <sheetPr codeName="Sheet1"/>
  <dimension ref="A1:G601"/>
  <sheetViews>
    <sheetView topLeftCell="A337" workbookViewId="0">
      <selection activeCell="D228" sqref="D228"/>
    </sheetView>
  </sheetViews>
  <sheetFormatPr baseColWidth="10" defaultColWidth="15" defaultRowHeight="16" x14ac:dyDescent="0.2"/>
  <cols>
    <col min="5" max="5" width="19.6640625" customWidth="1"/>
    <col min="6" max="6" width="22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">
      <c r="A2" t="s">
        <v>6</v>
      </c>
      <c r="B2" t="s">
        <v>7</v>
      </c>
      <c r="C2">
        <v>6664.36</v>
      </c>
      <c r="D2">
        <v>3665.4</v>
      </c>
      <c r="E2">
        <v>2998.95999999999</v>
      </c>
      <c r="F2">
        <v>55</v>
      </c>
    </row>
    <row r="3" spans="1:7" x14ac:dyDescent="0.2">
      <c r="A3" t="s">
        <v>6</v>
      </c>
      <c r="B3" t="s">
        <v>8</v>
      </c>
      <c r="C3">
        <v>10956.71</v>
      </c>
      <c r="D3">
        <v>7121.86</v>
      </c>
      <c r="E3">
        <v>3834.8499999999899</v>
      </c>
      <c r="F3">
        <v>65</v>
      </c>
    </row>
    <row r="4" spans="1:7" x14ac:dyDescent="0.2">
      <c r="A4" t="s">
        <v>6</v>
      </c>
      <c r="B4" t="s">
        <v>8</v>
      </c>
      <c r="C4">
        <v>10837.12</v>
      </c>
      <c r="D4">
        <v>7044.13</v>
      </c>
      <c r="E4">
        <v>3792.99</v>
      </c>
      <c r="F4">
        <v>65</v>
      </c>
    </row>
    <row r="5" spans="1:7" x14ac:dyDescent="0.2">
      <c r="A5" t="s">
        <v>6</v>
      </c>
      <c r="B5" t="s">
        <v>9</v>
      </c>
      <c r="C5">
        <v>13031.55</v>
      </c>
      <c r="D5">
        <v>11076.82</v>
      </c>
      <c r="E5">
        <v>1954.72999999999</v>
      </c>
      <c r="F5">
        <v>85</v>
      </c>
    </row>
    <row r="6" spans="1:7" x14ac:dyDescent="0.2">
      <c r="A6" t="s">
        <v>6</v>
      </c>
      <c r="B6" t="s">
        <v>8</v>
      </c>
      <c r="C6">
        <v>8257.3700000000008</v>
      </c>
      <c r="D6">
        <v>5367.29</v>
      </c>
      <c r="E6">
        <v>2890.08</v>
      </c>
      <c r="F6">
        <v>65</v>
      </c>
    </row>
    <row r="7" spans="1:7" x14ac:dyDescent="0.2">
      <c r="A7" t="s">
        <v>6</v>
      </c>
      <c r="B7" t="s">
        <v>8</v>
      </c>
      <c r="C7">
        <v>8424.49</v>
      </c>
      <c r="D7">
        <v>5475.92</v>
      </c>
      <c r="E7">
        <v>2948.5699999999902</v>
      </c>
      <c r="F7">
        <v>65</v>
      </c>
    </row>
    <row r="8" spans="1:7" x14ac:dyDescent="0.2">
      <c r="A8" t="s">
        <v>6</v>
      </c>
      <c r="B8" t="s">
        <v>8</v>
      </c>
      <c r="C8">
        <v>2162.35</v>
      </c>
      <c r="D8">
        <v>1405.53</v>
      </c>
      <c r="E8">
        <v>756.81999999999903</v>
      </c>
      <c r="F8">
        <v>65</v>
      </c>
    </row>
    <row r="9" spans="1:7" x14ac:dyDescent="0.2">
      <c r="A9" t="s">
        <v>6</v>
      </c>
      <c r="B9" t="s">
        <v>8</v>
      </c>
      <c r="C9">
        <v>12851.11</v>
      </c>
      <c r="D9">
        <v>8353.2199999999993</v>
      </c>
      <c r="E9">
        <v>4497.8900000000003</v>
      </c>
      <c r="F9">
        <v>65</v>
      </c>
    </row>
    <row r="10" spans="1:7" x14ac:dyDescent="0.2">
      <c r="A10" t="s">
        <v>6</v>
      </c>
      <c r="B10" t="s">
        <v>9</v>
      </c>
      <c r="C10">
        <v>8715.86</v>
      </c>
      <c r="D10">
        <v>7408.48</v>
      </c>
      <c r="E10">
        <v>1307.3800000000001</v>
      </c>
      <c r="F10">
        <v>85</v>
      </c>
    </row>
    <row r="11" spans="1:7" x14ac:dyDescent="0.2">
      <c r="A11" t="s">
        <v>6</v>
      </c>
      <c r="B11" t="s">
        <v>7</v>
      </c>
      <c r="C11">
        <v>7772.78</v>
      </c>
      <c r="D11">
        <v>4275.03</v>
      </c>
      <c r="E11">
        <v>3497.75</v>
      </c>
      <c r="F11">
        <v>55</v>
      </c>
    </row>
    <row r="12" spans="1:7" x14ac:dyDescent="0.2">
      <c r="A12" t="s">
        <v>6</v>
      </c>
      <c r="B12" t="s">
        <v>7</v>
      </c>
      <c r="C12">
        <v>8111.58</v>
      </c>
      <c r="D12">
        <v>4461.37</v>
      </c>
      <c r="E12">
        <v>3650.21</v>
      </c>
      <c r="F12">
        <v>55</v>
      </c>
    </row>
    <row r="13" spans="1:7" x14ac:dyDescent="0.2">
      <c r="A13" t="s">
        <v>6</v>
      </c>
      <c r="B13" t="s">
        <v>7</v>
      </c>
      <c r="C13">
        <v>11793.16</v>
      </c>
      <c r="D13">
        <v>6486.24</v>
      </c>
      <c r="E13">
        <v>5306.92</v>
      </c>
      <c r="F13">
        <v>55</v>
      </c>
    </row>
    <row r="14" spans="1:7" x14ac:dyDescent="0.2">
      <c r="A14" t="s">
        <v>6</v>
      </c>
      <c r="B14" t="s">
        <v>9</v>
      </c>
      <c r="C14">
        <v>10366.66</v>
      </c>
      <c r="D14">
        <v>8811.66</v>
      </c>
      <c r="E14">
        <v>1555</v>
      </c>
      <c r="F14">
        <v>85</v>
      </c>
    </row>
    <row r="15" spans="1:7" x14ac:dyDescent="0.2">
      <c r="A15" t="s">
        <v>6</v>
      </c>
      <c r="B15" t="s">
        <v>8</v>
      </c>
      <c r="C15">
        <v>8453.69</v>
      </c>
      <c r="D15">
        <v>5494.9</v>
      </c>
      <c r="E15">
        <v>2958.79</v>
      </c>
      <c r="F15">
        <v>65</v>
      </c>
    </row>
    <row r="16" spans="1:7" x14ac:dyDescent="0.2">
      <c r="A16" t="s">
        <v>6</v>
      </c>
      <c r="B16" t="s">
        <v>8</v>
      </c>
      <c r="C16">
        <v>8199.24</v>
      </c>
      <c r="D16">
        <v>5329.51</v>
      </c>
      <c r="E16">
        <v>2869.72999999999</v>
      </c>
      <c r="F16">
        <v>65</v>
      </c>
    </row>
    <row r="17" spans="1:6" x14ac:dyDescent="0.2">
      <c r="A17" t="s">
        <v>6</v>
      </c>
      <c r="B17" t="s">
        <v>8</v>
      </c>
      <c r="C17">
        <v>12842.32</v>
      </c>
      <c r="D17">
        <v>8347.51</v>
      </c>
      <c r="E17">
        <v>4494.8099999999904</v>
      </c>
      <c r="F17">
        <v>65</v>
      </c>
    </row>
    <row r="18" spans="1:6" x14ac:dyDescent="0.2">
      <c r="A18" t="s">
        <v>6</v>
      </c>
      <c r="B18" t="s">
        <v>9</v>
      </c>
      <c r="C18">
        <v>6935.34</v>
      </c>
      <c r="D18">
        <v>5895.04</v>
      </c>
      <c r="E18">
        <v>1040.3</v>
      </c>
      <c r="F18">
        <v>85</v>
      </c>
    </row>
    <row r="19" spans="1:6" x14ac:dyDescent="0.2">
      <c r="A19" t="s">
        <v>6</v>
      </c>
      <c r="B19" t="s">
        <v>7</v>
      </c>
      <c r="C19">
        <v>9514.73</v>
      </c>
      <c r="D19">
        <v>5233.1000000000004</v>
      </c>
      <c r="E19">
        <v>4281.6299999999901</v>
      </c>
      <c r="F19">
        <v>55</v>
      </c>
    </row>
    <row r="20" spans="1:6" x14ac:dyDescent="0.2">
      <c r="A20" t="s">
        <v>6</v>
      </c>
      <c r="B20" t="s">
        <v>8</v>
      </c>
      <c r="C20">
        <v>9311.65</v>
      </c>
      <c r="D20">
        <v>6052.57</v>
      </c>
      <c r="E20">
        <v>3259.08</v>
      </c>
      <c r="F20">
        <v>65</v>
      </c>
    </row>
    <row r="21" spans="1:6" x14ac:dyDescent="0.2">
      <c r="A21" t="s">
        <v>6</v>
      </c>
      <c r="B21" t="s">
        <v>9</v>
      </c>
      <c r="C21">
        <v>11168.05</v>
      </c>
      <c r="D21">
        <v>9492.84</v>
      </c>
      <c r="E21">
        <v>1675.20999999999</v>
      </c>
      <c r="F21">
        <v>85</v>
      </c>
    </row>
    <row r="22" spans="1:6" x14ac:dyDescent="0.2">
      <c r="A22" t="s">
        <v>6</v>
      </c>
      <c r="B22" t="s">
        <v>8</v>
      </c>
      <c r="C22">
        <v>18334.939999999999</v>
      </c>
      <c r="D22">
        <v>11917.71</v>
      </c>
      <c r="E22">
        <v>6417.23</v>
      </c>
      <c r="F22">
        <v>65</v>
      </c>
    </row>
    <row r="23" spans="1:6" x14ac:dyDescent="0.2">
      <c r="A23" t="s">
        <v>6</v>
      </c>
      <c r="B23" t="s">
        <v>8</v>
      </c>
      <c r="C23">
        <v>13580.92</v>
      </c>
      <c r="D23">
        <v>8827.6</v>
      </c>
      <c r="E23">
        <v>4753.32</v>
      </c>
      <c r="F23">
        <v>65</v>
      </c>
    </row>
    <row r="24" spans="1:6" x14ac:dyDescent="0.2">
      <c r="A24" t="s">
        <v>6</v>
      </c>
      <c r="B24" t="s">
        <v>10</v>
      </c>
      <c r="C24">
        <v>10655.91</v>
      </c>
      <c r="D24">
        <v>2663.98</v>
      </c>
      <c r="E24">
        <v>7991.93</v>
      </c>
      <c r="F24">
        <v>25</v>
      </c>
    </row>
    <row r="25" spans="1:6" x14ac:dyDescent="0.2">
      <c r="A25" t="s">
        <v>6</v>
      </c>
      <c r="B25" t="s">
        <v>10</v>
      </c>
      <c r="C25">
        <v>12645.28</v>
      </c>
      <c r="D25">
        <v>3161.32</v>
      </c>
      <c r="E25">
        <v>9483.9599999999991</v>
      </c>
      <c r="F25">
        <v>25</v>
      </c>
    </row>
    <row r="26" spans="1:6" x14ac:dyDescent="0.2">
      <c r="A26" t="s">
        <v>6</v>
      </c>
      <c r="B26" t="s">
        <v>8</v>
      </c>
      <c r="C26">
        <v>6972.74</v>
      </c>
      <c r="D26">
        <v>4532.28</v>
      </c>
      <c r="E26">
        <v>2440.46</v>
      </c>
      <c r="F26">
        <v>65</v>
      </c>
    </row>
    <row r="27" spans="1:6" x14ac:dyDescent="0.2">
      <c r="A27" t="s">
        <v>6</v>
      </c>
      <c r="B27" t="s">
        <v>8</v>
      </c>
      <c r="C27">
        <v>5250.12</v>
      </c>
      <c r="D27">
        <v>3412.58</v>
      </c>
      <c r="E27">
        <v>1837.54</v>
      </c>
      <c r="F27">
        <v>65</v>
      </c>
    </row>
    <row r="28" spans="1:6" x14ac:dyDescent="0.2">
      <c r="A28" t="s">
        <v>6</v>
      </c>
      <c r="B28" t="s">
        <v>9</v>
      </c>
      <c r="C28">
        <v>5959.97</v>
      </c>
      <c r="D28">
        <v>5065.97</v>
      </c>
      <c r="E28">
        <v>894</v>
      </c>
      <c r="F28">
        <v>85</v>
      </c>
    </row>
    <row r="29" spans="1:6" x14ac:dyDescent="0.2">
      <c r="A29" t="s">
        <v>6</v>
      </c>
      <c r="B29" t="s">
        <v>7</v>
      </c>
      <c r="C29">
        <v>7358.23</v>
      </c>
      <c r="D29">
        <v>4047.03</v>
      </c>
      <c r="E29">
        <v>3311.1999999999898</v>
      </c>
      <c r="F29">
        <v>55</v>
      </c>
    </row>
    <row r="30" spans="1:6" x14ac:dyDescent="0.2">
      <c r="A30" t="s">
        <v>6</v>
      </c>
      <c r="B30" t="s">
        <v>8</v>
      </c>
      <c r="C30">
        <v>11746.37</v>
      </c>
      <c r="D30">
        <v>7635.14</v>
      </c>
      <c r="E30">
        <v>4111.2299999999996</v>
      </c>
      <c r="F30">
        <v>65</v>
      </c>
    </row>
    <row r="31" spans="1:6" x14ac:dyDescent="0.2">
      <c r="A31" t="s">
        <v>6</v>
      </c>
      <c r="B31" t="s">
        <v>9</v>
      </c>
      <c r="C31">
        <v>12663.25</v>
      </c>
      <c r="D31">
        <v>10763.76</v>
      </c>
      <c r="E31">
        <v>1899.48999999999</v>
      </c>
      <c r="F31">
        <v>85</v>
      </c>
    </row>
    <row r="32" spans="1:6" x14ac:dyDescent="0.2">
      <c r="A32" t="s">
        <v>6</v>
      </c>
      <c r="B32" t="s">
        <v>9</v>
      </c>
      <c r="C32">
        <v>9378.5</v>
      </c>
      <c r="D32">
        <v>7971.72</v>
      </c>
      <c r="E32">
        <v>1406.77999999999</v>
      </c>
      <c r="F32">
        <v>85</v>
      </c>
    </row>
    <row r="33" spans="1:6" x14ac:dyDescent="0.2">
      <c r="A33" t="s">
        <v>6</v>
      </c>
      <c r="B33" t="s">
        <v>8</v>
      </c>
      <c r="C33">
        <v>8129.57</v>
      </c>
      <c r="D33">
        <v>5284.22</v>
      </c>
      <c r="E33">
        <v>2845.3499999999899</v>
      </c>
      <c r="F33">
        <v>65</v>
      </c>
    </row>
    <row r="34" spans="1:6" x14ac:dyDescent="0.2">
      <c r="A34" t="s">
        <v>6</v>
      </c>
      <c r="B34" t="s">
        <v>9</v>
      </c>
      <c r="C34">
        <v>5475.54</v>
      </c>
      <c r="D34">
        <v>4654.21</v>
      </c>
      <c r="E34">
        <v>821.32999999999902</v>
      </c>
      <c r="F34">
        <v>85</v>
      </c>
    </row>
    <row r="35" spans="1:6" x14ac:dyDescent="0.2">
      <c r="A35" t="s">
        <v>6</v>
      </c>
      <c r="B35" t="s">
        <v>8</v>
      </c>
      <c r="C35">
        <v>13298.94</v>
      </c>
      <c r="D35">
        <v>8644.31</v>
      </c>
      <c r="E35">
        <v>4654.63</v>
      </c>
      <c r="F35">
        <v>65</v>
      </c>
    </row>
    <row r="36" spans="1:6" x14ac:dyDescent="0.2">
      <c r="A36" t="s">
        <v>6</v>
      </c>
      <c r="B36" t="s">
        <v>8</v>
      </c>
      <c r="C36">
        <v>13539.15</v>
      </c>
      <c r="D36">
        <v>8800.4500000000007</v>
      </c>
      <c r="E36">
        <v>4738.6999999999898</v>
      </c>
      <c r="F36">
        <v>65</v>
      </c>
    </row>
    <row r="37" spans="1:6" x14ac:dyDescent="0.2">
      <c r="A37" t="s">
        <v>6</v>
      </c>
      <c r="B37" t="s">
        <v>9</v>
      </c>
      <c r="C37">
        <v>7305.38</v>
      </c>
      <c r="D37">
        <v>6209.57</v>
      </c>
      <c r="E37">
        <v>1095.81</v>
      </c>
      <c r="F37">
        <v>85</v>
      </c>
    </row>
    <row r="38" spans="1:6" x14ac:dyDescent="0.2">
      <c r="A38" t="s">
        <v>6</v>
      </c>
      <c r="B38" t="s">
        <v>9</v>
      </c>
      <c r="C38">
        <v>6886.51</v>
      </c>
      <c r="D38">
        <v>5853.53</v>
      </c>
      <c r="E38">
        <v>1032.98</v>
      </c>
      <c r="F38">
        <v>85</v>
      </c>
    </row>
    <row r="39" spans="1:6" x14ac:dyDescent="0.2">
      <c r="A39" t="s">
        <v>6</v>
      </c>
      <c r="B39" t="s">
        <v>9</v>
      </c>
      <c r="C39">
        <v>9772.59</v>
      </c>
      <c r="D39">
        <v>8306.7000000000007</v>
      </c>
      <c r="E39">
        <v>1465.8899999999901</v>
      </c>
      <c r="F39">
        <v>85</v>
      </c>
    </row>
    <row r="40" spans="1:6" x14ac:dyDescent="0.2">
      <c r="A40" t="s">
        <v>6</v>
      </c>
      <c r="B40" t="s">
        <v>9</v>
      </c>
      <c r="C40">
        <v>14486.3</v>
      </c>
      <c r="D40">
        <v>12313.35</v>
      </c>
      <c r="E40">
        <v>2172.9499999999898</v>
      </c>
      <c r="F40">
        <v>85</v>
      </c>
    </row>
    <row r="41" spans="1:6" x14ac:dyDescent="0.2">
      <c r="A41" t="s">
        <v>6</v>
      </c>
      <c r="B41" t="s">
        <v>7</v>
      </c>
      <c r="C41">
        <v>11014.54</v>
      </c>
      <c r="D41">
        <v>6058</v>
      </c>
      <c r="E41">
        <v>4956.54</v>
      </c>
      <c r="F41">
        <v>55</v>
      </c>
    </row>
    <row r="42" spans="1:6" x14ac:dyDescent="0.2">
      <c r="A42" t="s">
        <v>6</v>
      </c>
      <c r="B42" t="s">
        <v>7</v>
      </c>
      <c r="C42">
        <v>8804.08</v>
      </c>
      <c r="D42">
        <v>4842.24</v>
      </c>
      <c r="E42">
        <v>3961.84</v>
      </c>
      <c r="F42">
        <v>55</v>
      </c>
    </row>
    <row r="43" spans="1:6" x14ac:dyDescent="0.2">
      <c r="A43" t="s">
        <v>6</v>
      </c>
      <c r="B43" t="s">
        <v>8</v>
      </c>
      <c r="C43">
        <v>9817.41</v>
      </c>
      <c r="D43">
        <v>6381.32</v>
      </c>
      <c r="E43">
        <v>3436.09</v>
      </c>
      <c r="F43">
        <v>65</v>
      </c>
    </row>
    <row r="44" spans="1:6" x14ac:dyDescent="0.2">
      <c r="A44" t="s">
        <v>6</v>
      </c>
      <c r="B44" t="s">
        <v>8</v>
      </c>
      <c r="C44">
        <v>5743.75</v>
      </c>
      <c r="D44">
        <v>3733.44</v>
      </c>
      <c r="E44">
        <v>2010.31</v>
      </c>
      <c r="F44">
        <v>65</v>
      </c>
    </row>
    <row r="45" spans="1:6" x14ac:dyDescent="0.2">
      <c r="A45" t="s">
        <v>6</v>
      </c>
      <c r="B45" t="s">
        <v>7</v>
      </c>
      <c r="C45">
        <v>13127.47</v>
      </c>
      <c r="D45">
        <v>7220.11</v>
      </c>
      <c r="E45">
        <v>5907.36</v>
      </c>
      <c r="F45">
        <v>55</v>
      </c>
    </row>
    <row r="46" spans="1:6" x14ac:dyDescent="0.2">
      <c r="A46" t="s">
        <v>6</v>
      </c>
      <c r="B46" t="s">
        <v>10</v>
      </c>
      <c r="C46">
        <v>8396.75</v>
      </c>
      <c r="D46">
        <v>2099.19</v>
      </c>
      <c r="E46">
        <v>6297.5599999999904</v>
      </c>
      <c r="F46">
        <v>25</v>
      </c>
    </row>
    <row r="47" spans="1:6" x14ac:dyDescent="0.2">
      <c r="A47" t="s">
        <v>6</v>
      </c>
      <c r="B47" t="s">
        <v>9</v>
      </c>
      <c r="C47">
        <v>5514.84</v>
      </c>
      <c r="D47">
        <v>4687.6099999999997</v>
      </c>
      <c r="E47">
        <v>827.23</v>
      </c>
      <c r="F47">
        <v>85</v>
      </c>
    </row>
    <row r="48" spans="1:6" x14ac:dyDescent="0.2">
      <c r="A48" t="s">
        <v>6</v>
      </c>
      <c r="B48" t="s">
        <v>8</v>
      </c>
      <c r="C48">
        <v>9363.52</v>
      </c>
      <c r="D48">
        <v>6086.29</v>
      </c>
      <c r="E48">
        <v>3277.23</v>
      </c>
      <c r="F48">
        <v>65</v>
      </c>
    </row>
    <row r="49" spans="1:6" x14ac:dyDescent="0.2">
      <c r="A49" t="s">
        <v>6</v>
      </c>
      <c r="B49" t="s">
        <v>8</v>
      </c>
      <c r="C49">
        <v>8719.39</v>
      </c>
      <c r="D49">
        <v>5667.6</v>
      </c>
      <c r="E49">
        <v>3051.78999999999</v>
      </c>
      <c r="F49">
        <v>65</v>
      </c>
    </row>
    <row r="50" spans="1:6" x14ac:dyDescent="0.2">
      <c r="A50" t="s">
        <v>6</v>
      </c>
      <c r="B50" t="s">
        <v>10</v>
      </c>
      <c r="C50">
        <v>11504.34</v>
      </c>
      <c r="D50">
        <v>2876.09</v>
      </c>
      <c r="E50">
        <v>8628.25</v>
      </c>
      <c r="F50">
        <v>25</v>
      </c>
    </row>
    <row r="51" spans="1:6" x14ac:dyDescent="0.2">
      <c r="A51" t="s">
        <v>6</v>
      </c>
      <c r="B51" t="s">
        <v>9</v>
      </c>
      <c r="C51">
        <v>13474.56</v>
      </c>
      <c r="D51">
        <v>11453.38</v>
      </c>
      <c r="E51">
        <v>2021.18</v>
      </c>
      <c r="F51">
        <v>85</v>
      </c>
    </row>
    <row r="52" spans="1:6" x14ac:dyDescent="0.2">
      <c r="A52" t="s">
        <v>6</v>
      </c>
      <c r="B52" t="s">
        <v>9</v>
      </c>
      <c r="C52">
        <v>14115.59</v>
      </c>
      <c r="D52">
        <v>11998.25</v>
      </c>
      <c r="E52">
        <v>2117.34</v>
      </c>
      <c r="F52">
        <v>85</v>
      </c>
    </row>
    <row r="53" spans="1:6" x14ac:dyDescent="0.2">
      <c r="A53" t="s">
        <v>6</v>
      </c>
      <c r="B53" t="s">
        <v>9</v>
      </c>
      <c r="C53">
        <v>10526.66</v>
      </c>
      <c r="D53">
        <v>8947.66</v>
      </c>
      <c r="E53">
        <v>1579</v>
      </c>
      <c r="F53">
        <v>85</v>
      </c>
    </row>
    <row r="54" spans="1:6" x14ac:dyDescent="0.2">
      <c r="A54" t="s">
        <v>6</v>
      </c>
      <c r="B54" t="s">
        <v>8</v>
      </c>
      <c r="C54">
        <v>9230.11</v>
      </c>
      <c r="D54">
        <v>5999.57</v>
      </c>
      <c r="E54">
        <v>3230.54</v>
      </c>
      <c r="F54">
        <v>65</v>
      </c>
    </row>
    <row r="55" spans="1:6" x14ac:dyDescent="0.2">
      <c r="A55" t="s">
        <v>6</v>
      </c>
      <c r="B55" t="s">
        <v>7</v>
      </c>
      <c r="C55">
        <v>8896.52</v>
      </c>
      <c r="D55">
        <v>4893.09</v>
      </c>
      <c r="E55">
        <v>4003.43</v>
      </c>
      <c r="F55">
        <v>55</v>
      </c>
    </row>
    <row r="56" spans="1:6" x14ac:dyDescent="0.2">
      <c r="A56" t="s">
        <v>6</v>
      </c>
      <c r="B56" t="s">
        <v>9</v>
      </c>
      <c r="C56">
        <v>2034.47</v>
      </c>
      <c r="D56">
        <v>1729.3</v>
      </c>
      <c r="E56">
        <v>305.17</v>
      </c>
      <c r="F56">
        <v>85</v>
      </c>
    </row>
    <row r="57" spans="1:6" x14ac:dyDescent="0.2">
      <c r="A57" t="s">
        <v>6</v>
      </c>
      <c r="B57" t="s">
        <v>8</v>
      </c>
      <c r="C57">
        <v>11036.55</v>
      </c>
      <c r="D57">
        <v>7173.76</v>
      </c>
      <c r="E57">
        <v>3862.78999999999</v>
      </c>
      <c r="F57">
        <v>65</v>
      </c>
    </row>
    <row r="58" spans="1:6" x14ac:dyDescent="0.2">
      <c r="A58" t="s">
        <v>6</v>
      </c>
      <c r="B58" t="s">
        <v>8</v>
      </c>
      <c r="C58">
        <v>11358.81</v>
      </c>
      <c r="D58">
        <v>7383.23</v>
      </c>
      <c r="E58">
        <v>3975.58</v>
      </c>
      <c r="F58">
        <v>65</v>
      </c>
    </row>
    <row r="59" spans="1:6" x14ac:dyDescent="0.2">
      <c r="A59" t="s">
        <v>6</v>
      </c>
      <c r="B59" t="s">
        <v>8</v>
      </c>
      <c r="C59">
        <v>9501.82</v>
      </c>
      <c r="D59">
        <v>6176.18</v>
      </c>
      <c r="E59">
        <v>3325.6399999999899</v>
      </c>
      <c r="F59">
        <v>65</v>
      </c>
    </row>
    <row r="60" spans="1:6" x14ac:dyDescent="0.2">
      <c r="A60" t="s">
        <v>6</v>
      </c>
      <c r="B60" t="s">
        <v>7</v>
      </c>
      <c r="C60">
        <v>7170.83</v>
      </c>
      <c r="D60">
        <v>3943.96</v>
      </c>
      <c r="E60">
        <v>3226.87</v>
      </c>
      <c r="F60">
        <v>55</v>
      </c>
    </row>
    <row r="61" spans="1:6" x14ac:dyDescent="0.2">
      <c r="A61" t="s">
        <v>6</v>
      </c>
      <c r="B61" t="s">
        <v>10</v>
      </c>
      <c r="C61">
        <v>14211.88</v>
      </c>
      <c r="D61">
        <v>3552.97</v>
      </c>
      <c r="E61">
        <v>10658.91</v>
      </c>
      <c r="F61">
        <v>25</v>
      </c>
    </row>
    <row r="62" spans="1:6" x14ac:dyDescent="0.2">
      <c r="A62" t="s">
        <v>6</v>
      </c>
      <c r="B62" t="s">
        <v>10</v>
      </c>
      <c r="C62">
        <v>9944.35</v>
      </c>
      <c r="D62">
        <v>2486.09</v>
      </c>
      <c r="E62">
        <v>7458.26</v>
      </c>
      <c r="F62">
        <v>25</v>
      </c>
    </row>
    <row r="63" spans="1:6" x14ac:dyDescent="0.2">
      <c r="A63" t="s">
        <v>6</v>
      </c>
      <c r="B63" t="s">
        <v>8</v>
      </c>
      <c r="C63">
        <v>4979.49</v>
      </c>
      <c r="D63">
        <v>3236.67</v>
      </c>
      <c r="E63">
        <v>1742.8199999999899</v>
      </c>
      <c r="F63">
        <v>65</v>
      </c>
    </row>
    <row r="64" spans="1:6" x14ac:dyDescent="0.2">
      <c r="A64" t="s">
        <v>6</v>
      </c>
      <c r="B64" t="s">
        <v>8</v>
      </c>
      <c r="C64">
        <v>10307.040000000001</v>
      </c>
      <c r="D64">
        <v>6699.58</v>
      </c>
      <c r="E64">
        <v>3607.46</v>
      </c>
      <c r="F64">
        <v>65</v>
      </c>
    </row>
    <row r="65" spans="1:6" x14ac:dyDescent="0.2">
      <c r="A65" t="s">
        <v>6</v>
      </c>
      <c r="B65" t="s">
        <v>7</v>
      </c>
      <c r="C65">
        <v>8702.17</v>
      </c>
      <c r="D65">
        <v>4786.1899999999996</v>
      </c>
      <c r="E65">
        <v>3915.98</v>
      </c>
      <c r="F65">
        <v>55</v>
      </c>
    </row>
    <row r="66" spans="1:6" x14ac:dyDescent="0.2">
      <c r="A66" t="s">
        <v>6</v>
      </c>
      <c r="B66" t="s">
        <v>8</v>
      </c>
      <c r="C66">
        <v>11433.26</v>
      </c>
      <c r="D66">
        <v>7431.62</v>
      </c>
      <c r="E66">
        <v>4001.64</v>
      </c>
      <c r="F66">
        <v>65</v>
      </c>
    </row>
    <row r="67" spans="1:6" x14ac:dyDescent="0.2">
      <c r="A67" t="s">
        <v>6</v>
      </c>
      <c r="B67" t="s">
        <v>8</v>
      </c>
      <c r="C67">
        <v>9222.91</v>
      </c>
      <c r="D67">
        <v>5994.89</v>
      </c>
      <c r="E67">
        <v>3228.01999999999</v>
      </c>
      <c r="F67">
        <v>65</v>
      </c>
    </row>
    <row r="68" spans="1:6" x14ac:dyDescent="0.2">
      <c r="A68" t="s">
        <v>6</v>
      </c>
      <c r="B68" t="s">
        <v>8</v>
      </c>
      <c r="C68">
        <v>11019.46</v>
      </c>
      <c r="D68">
        <v>7162.65</v>
      </c>
      <c r="E68">
        <v>3856.8099999999899</v>
      </c>
      <c r="F68">
        <v>65</v>
      </c>
    </row>
    <row r="69" spans="1:6" x14ac:dyDescent="0.2">
      <c r="A69" t="s">
        <v>6</v>
      </c>
      <c r="B69" t="s">
        <v>8</v>
      </c>
      <c r="C69">
        <v>9977.86</v>
      </c>
      <c r="D69">
        <v>6485.61</v>
      </c>
      <c r="E69">
        <v>3492.25</v>
      </c>
      <c r="F69">
        <v>65</v>
      </c>
    </row>
    <row r="70" spans="1:6" x14ac:dyDescent="0.2">
      <c r="A70" t="s">
        <v>6</v>
      </c>
      <c r="B70" t="s">
        <v>9</v>
      </c>
      <c r="C70">
        <v>7673.99</v>
      </c>
      <c r="D70">
        <v>6522.89</v>
      </c>
      <c r="E70">
        <v>1151.0999999999899</v>
      </c>
      <c r="F70">
        <v>85</v>
      </c>
    </row>
    <row r="71" spans="1:6" x14ac:dyDescent="0.2">
      <c r="A71" t="s">
        <v>6</v>
      </c>
      <c r="B71" t="s">
        <v>9</v>
      </c>
      <c r="C71">
        <v>12319.42</v>
      </c>
      <c r="D71">
        <v>10471.51</v>
      </c>
      <c r="E71">
        <v>1847.9099999999901</v>
      </c>
      <c r="F71">
        <v>85</v>
      </c>
    </row>
    <row r="72" spans="1:6" x14ac:dyDescent="0.2">
      <c r="A72" t="s">
        <v>6</v>
      </c>
      <c r="B72" t="s">
        <v>7</v>
      </c>
      <c r="C72">
        <v>14215.62</v>
      </c>
      <c r="D72">
        <v>7818.59</v>
      </c>
      <c r="E72">
        <v>6397.03</v>
      </c>
      <c r="F72">
        <v>55</v>
      </c>
    </row>
    <row r="73" spans="1:6" x14ac:dyDescent="0.2">
      <c r="A73" t="s">
        <v>6</v>
      </c>
      <c r="B73" t="s">
        <v>7</v>
      </c>
      <c r="C73">
        <v>14176.98</v>
      </c>
      <c r="D73">
        <v>7797.34</v>
      </c>
      <c r="E73">
        <v>6379.6399999999903</v>
      </c>
      <c r="F73">
        <v>55</v>
      </c>
    </row>
    <row r="74" spans="1:6" x14ac:dyDescent="0.2">
      <c r="A74" t="s">
        <v>6</v>
      </c>
      <c r="B74" t="s">
        <v>8</v>
      </c>
      <c r="C74">
        <v>8519.7000000000007</v>
      </c>
      <c r="D74">
        <v>5537.81</v>
      </c>
      <c r="E74">
        <v>2981.89</v>
      </c>
      <c r="F74">
        <v>65</v>
      </c>
    </row>
    <row r="75" spans="1:6" x14ac:dyDescent="0.2">
      <c r="A75" t="s">
        <v>6</v>
      </c>
      <c r="B75" t="s">
        <v>8</v>
      </c>
      <c r="C75">
        <v>12769.49</v>
      </c>
      <c r="D75">
        <v>8300.17</v>
      </c>
      <c r="E75">
        <v>4469.32</v>
      </c>
      <c r="F75">
        <v>65</v>
      </c>
    </row>
    <row r="76" spans="1:6" x14ac:dyDescent="0.2">
      <c r="A76" t="s">
        <v>6</v>
      </c>
      <c r="B76" t="s">
        <v>8</v>
      </c>
      <c r="C76">
        <v>15119.81</v>
      </c>
      <c r="D76">
        <v>9827.8799999999992</v>
      </c>
      <c r="E76">
        <v>5291.93</v>
      </c>
      <c r="F76">
        <v>65</v>
      </c>
    </row>
    <row r="77" spans="1:6" x14ac:dyDescent="0.2">
      <c r="A77" t="s">
        <v>6</v>
      </c>
      <c r="B77" t="s">
        <v>8</v>
      </c>
      <c r="C77">
        <v>12620.77</v>
      </c>
      <c r="D77">
        <v>8203.5</v>
      </c>
      <c r="E77">
        <v>4417.2700000000004</v>
      </c>
      <c r="F77">
        <v>65</v>
      </c>
    </row>
    <row r="78" spans="1:6" x14ac:dyDescent="0.2">
      <c r="A78" t="s">
        <v>6</v>
      </c>
      <c r="B78" t="s">
        <v>7</v>
      </c>
      <c r="C78">
        <v>11947.26</v>
      </c>
      <c r="D78">
        <v>6570.99</v>
      </c>
      <c r="E78">
        <v>5376.27</v>
      </c>
      <c r="F78">
        <v>55</v>
      </c>
    </row>
    <row r="79" spans="1:6" x14ac:dyDescent="0.2">
      <c r="A79" t="s">
        <v>6</v>
      </c>
      <c r="B79" t="s">
        <v>8</v>
      </c>
      <c r="C79">
        <v>6331.38</v>
      </c>
      <c r="D79">
        <v>4115.3999999999996</v>
      </c>
      <c r="E79">
        <v>2215.98</v>
      </c>
      <c r="F79">
        <v>65</v>
      </c>
    </row>
    <row r="80" spans="1:6" x14ac:dyDescent="0.2">
      <c r="A80" t="s">
        <v>6</v>
      </c>
      <c r="B80" t="s">
        <v>9</v>
      </c>
      <c r="C80">
        <v>11861.64</v>
      </c>
      <c r="D80">
        <v>10082.39</v>
      </c>
      <c r="E80">
        <v>1779.25</v>
      </c>
      <c r="F80">
        <v>85</v>
      </c>
    </row>
    <row r="81" spans="1:6" x14ac:dyDescent="0.2">
      <c r="A81" t="s">
        <v>6</v>
      </c>
      <c r="B81" t="s">
        <v>8</v>
      </c>
      <c r="C81">
        <v>9517.19</v>
      </c>
      <c r="D81">
        <v>6186.17</v>
      </c>
      <c r="E81">
        <v>3331.02</v>
      </c>
      <c r="F81">
        <v>65</v>
      </c>
    </row>
    <row r="82" spans="1:6" x14ac:dyDescent="0.2">
      <c r="A82" t="s">
        <v>6</v>
      </c>
      <c r="B82" t="s">
        <v>8</v>
      </c>
      <c r="C82">
        <v>8929.76</v>
      </c>
      <c r="D82">
        <v>5804.34</v>
      </c>
      <c r="E82">
        <v>3125.42</v>
      </c>
      <c r="F82">
        <v>65</v>
      </c>
    </row>
    <row r="83" spans="1:6" x14ac:dyDescent="0.2">
      <c r="A83" t="s">
        <v>6</v>
      </c>
      <c r="B83" t="s">
        <v>9</v>
      </c>
      <c r="C83">
        <v>11668.37</v>
      </c>
      <c r="D83">
        <v>9918.11</v>
      </c>
      <c r="E83">
        <v>1750.26</v>
      </c>
      <c r="F83">
        <v>85</v>
      </c>
    </row>
    <row r="84" spans="1:6" x14ac:dyDescent="0.2">
      <c r="A84" t="s">
        <v>6</v>
      </c>
      <c r="B84" t="s">
        <v>9</v>
      </c>
      <c r="C84">
        <v>14091.66</v>
      </c>
      <c r="D84">
        <v>11977.91</v>
      </c>
      <c r="E84">
        <v>2113.75</v>
      </c>
      <c r="F84">
        <v>85</v>
      </c>
    </row>
    <row r="85" spans="1:6" x14ac:dyDescent="0.2">
      <c r="A85" t="s">
        <v>6</v>
      </c>
      <c r="B85" t="s">
        <v>8</v>
      </c>
      <c r="C85">
        <v>17617.490000000002</v>
      </c>
      <c r="D85">
        <v>11451.37</v>
      </c>
      <c r="E85">
        <v>6166.12</v>
      </c>
      <c r="F85">
        <v>65</v>
      </c>
    </row>
    <row r="86" spans="1:6" x14ac:dyDescent="0.2">
      <c r="A86" t="s">
        <v>6</v>
      </c>
      <c r="B86" t="s">
        <v>8</v>
      </c>
      <c r="C86">
        <v>5679.88</v>
      </c>
      <c r="D86">
        <v>3691.92</v>
      </c>
      <c r="E86">
        <v>1987.96</v>
      </c>
      <c r="F86">
        <v>65</v>
      </c>
    </row>
    <row r="87" spans="1:6" x14ac:dyDescent="0.2">
      <c r="A87" t="s">
        <v>6</v>
      </c>
      <c r="B87" t="s">
        <v>8</v>
      </c>
      <c r="C87">
        <v>13572.18</v>
      </c>
      <c r="D87">
        <v>8821.92</v>
      </c>
      <c r="E87">
        <v>4750.26</v>
      </c>
      <c r="F87">
        <v>65</v>
      </c>
    </row>
    <row r="88" spans="1:6" x14ac:dyDescent="0.2">
      <c r="A88" t="s">
        <v>6</v>
      </c>
      <c r="B88" t="s">
        <v>9</v>
      </c>
      <c r="C88">
        <v>11852.92</v>
      </c>
      <c r="D88">
        <v>10074.98</v>
      </c>
      <c r="E88">
        <v>1777.94</v>
      </c>
      <c r="F88">
        <v>85</v>
      </c>
    </row>
    <row r="89" spans="1:6" x14ac:dyDescent="0.2">
      <c r="A89" t="s">
        <v>6</v>
      </c>
      <c r="B89" t="s">
        <v>8</v>
      </c>
      <c r="C89">
        <v>13651.21</v>
      </c>
      <c r="D89">
        <v>8873.2900000000009</v>
      </c>
      <c r="E89">
        <v>4777.9199999999901</v>
      </c>
      <c r="F89">
        <v>65</v>
      </c>
    </row>
    <row r="90" spans="1:6" x14ac:dyDescent="0.2">
      <c r="A90" t="s">
        <v>6</v>
      </c>
      <c r="B90" t="s">
        <v>8</v>
      </c>
      <c r="C90">
        <v>10678.86</v>
      </c>
      <c r="D90">
        <v>6941.26</v>
      </c>
      <c r="E90">
        <v>3737.6</v>
      </c>
      <c r="F90">
        <v>65</v>
      </c>
    </row>
    <row r="91" spans="1:6" x14ac:dyDescent="0.2">
      <c r="A91" t="s">
        <v>6</v>
      </c>
      <c r="B91" t="s">
        <v>8</v>
      </c>
      <c r="C91">
        <v>12542.2</v>
      </c>
      <c r="D91">
        <v>8152.43</v>
      </c>
      <c r="E91">
        <v>4389.7700000000004</v>
      </c>
      <c r="F91">
        <v>65</v>
      </c>
    </row>
    <row r="92" spans="1:6" x14ac:dyDescent="0.2">
      <c r="A92" t="s">
        <v>6</v>
      </c>
      <c r="B92" t="s">
        <v>8</v>
      </c>
      <c r="C92">
        <v>10524.5</v>
      </c>
      <c r="D92">
        <v>6840.93</v>
      </c>
      <c r="E92">
        <v>3683.5699999999902</v>
      </c>
      <c r="F92">
        <v>65</v>
      </c>
    </row>
    <row r="93" spans="1:6" x14ac:dyDescent="0.2">
      <c r="A93" t="s">
        <v>6</v>
      </c>
      <c r="B93" t="s">
        <v>9</v>
      </c>
      <c r="C93">
        <v>6349.44</v>
      </c>
      <c r="D93">
        <v>5397.02</v>
      </c>
      <c r="E93">
        <v>952.41999999999905</v>
      </c>
      <c r="F93">
        <v>85</v>
      </c>
    </row>
    <row r="94" spans="1:6" x14ac:dyDescent="0.2">
      <c r="A94" t="s">
        <v>6</v>
      </c>
      <c r="B94" t="s">
        <v>9</v>
      </c>
      <c r="C94">
        <v>12203.5</v>
      </c>
      <c r="D94">
        <v>10372.98</v>
      </c>
      <c r="E94">
        <v>1830.52</v>
      </c>
      <c r="F94">
        <v>85</v>
      </c>
    </row>
    <row r="95" spans="1:6" x14ac:dyDescent="0.2">
      <c r="A95" t="s">
        <v>6</v>
      </c>
      <c r="B95" t="s">
        <v>8</v>
      </c>
      <c r="C95">
        <v>7136.51</v>
      </c>
      <c r="D95">
        <v>4638.7299999999996</v>
      </c>
      <c r="E95">
        <v>2497.7800000000002</v>
      </c>
      <c r="F95">
        <v>65</v>
      </c>
    </row>
    <row r="96" spans="1:6" x14ac:dyDescent="0.2">
      <c r="A96" t="s">
        <v>6</v>
      </c>
      <c r="B96" t="s">
        <v>8</v>
      </c>
      <c r="C96">
        <v>12309.93</v>
      </c>
      <c r="D96">
        <v>8001.45</v>
      </c>
      <c r="E96">
        <v>4308.4799999999996</v>
      </c>
      <c r="F96">
        <v>65</v>
      </c>
    </row>
    <row r="97" spans="1:6" x14ac:dyDescent="0.2">
      <c r="A97" t="s">
        <v>6</v>
      </c>
      <c r="B97" t="s">
        <v>9</v>
      </c>
      <c r="C97">
        <v>13805.17</v>
      </c>
      <c r="D97">
        <v>11734.39</v>
      </c>
      <c r="E97">
        <v>2070.7800000000002</v>
      </c>
      <c r="F97">
        <v>85</v>
      </c>
    </row>
    <row r="98" spans="1:6" x14ac:dyDescent="0.2">
      <c r="A98" t="s">
        <v>6</v>
      </c>
      <c r="B98" t="s">
        <v>9</v>
      </c>
      <c r="C98">
        <v>7397.08</v>
      </c>
      <c r="D98">
        <v>6287.52</v>
      </c>
      <c r="E98">
        <v>1109.5599999999899</v>
      </c>
      <c r="F98">
        <v>85</v>
      </c>
    </row>
    <row r="99" spans="1:6" x14ac:dyDescent="0.2">
      <c r="A99" t="s">
        <v>6</v>
      </c>
      <c r="B99" t="s">
        <v>7</v>
      </c>
      <c r="C99">
        <v>10437.59</v>
      </c>
      <c r="D99">
        <v>5740.67</v>
      </c>
      <c r="E99">
        <v>4696.92</v>
      </c>
      <c r="F99">
        <v>55</v>
      </c>
    </row>
    <row r="100" spans="1:6" x14ac:dyDescent="0.2">
      <c r="A100" t="s">
        <v>6</v>
      </c>
      <c r="B100" t="s">
        <v>8</v>
      </c>
      <c r="C100">
        <v>12636.02</v>
      </c>
      <c r="D100">
        <v>8213.41</v>
      </c>
      <c r="E100">
        <v>4422.6099999999997</v>
      </c>
      <c r="F100">
        <v>65</v>
      </c>
    </row>
    <row r="101" spans="1:6" x14ac:dyDescent="0.2">
      <c r="A101" t="s">
        <v>6</v>
      </c>
      <c r="B101" t="s">
        <v>9</v>
      </c>
      <c r="C101">
        <v>9281.2199999999993</v>
      </c>
      <c r="D101">
        <v>7889.04</v>
      </c>
      <c r="E101">
        <v>1392.1799999999901</v>
      </c>
      <c r="F101">
        <v>85</v>
      </c>
    </row>
    <row r="102" spans="1:6" x14ac:dyDescent="0.2">
      <c r="A102" t="s">
        <v>11</v>
      </c>
      <c r="B102" t="s">
        <v>9</v>
      </c>
      <c r="C102">
        <v>18203.27</v>
      </c>
      <c r="D102">
        <v>15472.78</v>
      </c>
      <c r="E102">
        <v>2730.49</v>
      </c>
      <c r="F102">
        <v>85</v>
      </c>
    </row>
    <row r="103" spans="1:6" x14ac:dyDescent="0.2">
      <c r="A103" t="s">
        <v>11</v>
      </c>
      <c r="B103" t="s">
        <v>7</v>
      </c>
      <c r="C103">
        <v>10281.299999999999</v>
      </c>
      <c r="D103">
        <v>5654.72</v>
      </c>
      <c r="E103">
        <v>4626.5799999999899</v>
      </c>
      <c r="F103">
        <v>55</v>
      </c>
    </row>
    <row r="104" spans="1:6" x14ac:dyDescent="0.2">
      <c r="A104" t="s">
        <v>11</v>
      </c>
      <c r="B104" t="s">
        <v>8</v>
      </c>
      <c r="C104">
        <v>7110.95</v>
      </c>
      <c r="D104">
        <v>4622.12</v>
      </c>
      <c r="E104">
        <v>2488.83</v>
      </c>
      <c r="F104">
        <v>65</v>
      </c>
    </row>
    <row r="105" spans="1:6" x14ac:dyDescent="0.2">
      <c r="A105" t="s">
        <v>11</v>
      </c>
      <c r="B105" t="s">
        <v>8</v>
      </c>
      <c r="C105">
        <v>12931.54</v>
      </c>
      <c r="D105">
        <v>8405.5</v>
      </c>
      <c r="E105">
        <v>4526.04</v>
      </c>
      <c r="F105">
        <v>65</v>
      </c>
    </row>
    <row r="106" spans="1:6" x14ac:dyDescent="0.2">
      <c r="A106" t="s">
        <v>11</v>
      </c>
      <c r="B106" t="s">
        <v>9</v>
      </c>
      <c r="C106">
        <v>9627.6</v>
      </c>
      <c r="D106">
        <v>8183.46</v>
      </c>
      <c r="E106">
        <v>1444.14</v>
      </c>
      <c r="F106">
        <v>85</v>
      </c>
    </row>
    <row r="107" spans="1:6" x14ac:dyDescent="0.2">
      <c r="A107" t="s">
        <v>11</v>
      </c>
      <c r="B107" t="s">
        <v>10</v>
      </c>
      <c r="C107">
        <v>12221.02</v>
      </c>
      <c r="D107">
        <v>3055.26</v>
      </c>
      <c r="E107">
        <v>9165.76</v>
      </c>
      <c r="F107">
        <v>25</v>
      </c>
    </row>
    <row r="108" spans="1:6" x14ac:dyDescent="0.2">
      <c r="A108" t="s">
        <v>11</v>
      </c>
      <c r="B108" t="s">
        <v>10</v>
      </c>
      <c r="C108">
        <v>8642.61</v>
      </c>
      <c r="D108">
        <v>2160.65</v>
      </c>
      <c r="E108">
        <v>6481.96</v>
      </c>
      <c r="F108">
        <v>25</v>
      </c>
    </row>
    <row r="109" spans="1:6" x14ac:dyDescent="0.2">
      <c r="A109" t="s">
        <v>11</v>
      </c>
      <c r="B109" t="s">
        <v>7</v>
      </c>
      <c r="C109">
        <v>12331.15</v>
      </c>
      <c r="D109">
        <v>6782.13</v>
      </c>
      <c r="E109">
        <v>5549.0199999999904</v>
      </c>
      <c r="F109">
        <v>55</v>
      </c>
    </row>
    <row r="110" spans="1:6" x14ac:dyDescent="0.2">
      <c r="A110" t="s">
        <v>11</v>
      </c>
      <c r="B110" t="s">
        <v>9</v>
      </c>
      <c r="C110">
        <v>7221.86</v>
      </c>
      <c r="D110">
        <v>6138.58</v>
      </c>
      <c r="E110">
        <v>1083.27999999999</v>
      </c>
      <c r="F110">
        <v>85</v>
      </c>
    </row>
    <row r="111" spans="1:6" x14ac:dyDescent="0.2">
      <c r="A111" t="s">
        <v>11</v>
      </c>
      <c r="B111" t="s">
        <v>9</v>
      </c>
      <c r="C111">
        <v>8461.1</v>
      </c>
      <c r="D111">
        <v>7191.94</v>
      </c>
      <c r="E111">
        <v>1269.1600000000001</v>
      </c>
      <c r="F111">
        <v>85</v>
      </c>
    </row>
    <row r="112" spans="1:6" x14ac:dyDescent="0.2">
      <c r="A112" t="s">
        <v>11</v>
      </c>
      <c r="B112" t="s">
        <v>10</v>
      </c>
      <c r="C112">
        <v>11890.22</v>
      </c>
      <c r="D112">
        <v>2972.55</v>
      </c>
      <c r="E112">
        <v>8917.6699999999892</v>
      </c>
      <c r="F112">
        <v>25</v>
      </c>
    </row>
    <row r="113" spans="1:6" x14ac:dyDescent="0.2">
      <c r="A113" t="s">
        <v>11</v>
      </c>
      <c r="B113" t="s">
        <v>8</v>
      </c>
      <c r="C113">
        <v>15288.81</v>
      </c>
      <c r="D113">
        <v>9937.73</v>
      </c>
      <c r="E113">
        <v>5351.08</v>
      </c>
      <c r="F113">
        <v>65</v>
      </c>
    </row>
    <row r="114" spans="1:6" x14ac:dyDescent="0.2">
      <c r="A114" t="s">
        <v>11</v>
      </c>
      <c r="B114" t="s">
        <v>9</v>
      </c>
      <c r="C114">
        <v>13172.27</v>
      </c>
      <c r="D114">
        <v>11196.43</v>
      </c>
      <c r="E114">
        <v>1975.84</v>
      </c>
      <c r="F114">
        <v>85</v>
      </c>
    </row>
    <row r="115" spans="1:6" x14ac:dyDescent="0.2">
      <c r="A115" t="s">
        <v>11</v>
      </c>
      <c r="B115" t="s">
        <v>9</v>
      </c>
      <c r="C115">
        <v>10154.08</v>
      </c>
      <c r="D115">
        <v>8630.9699999999993</v>
      </c>
      <c r="E115">
        <v>1523.11</v>
      </c>
      <c r="F115">
        <v>85</v>
      </c>
    </row>
    <row r="116" spans="1:6" x14ac:dyDescent="0.2">
      <c r="A116" t="s">
        <v>11</v>
      </c>
      <c r="B116" t="s">
        <v>9</v>
      </c>
      <c r="C116">
        <v>7122.98</v>
      </c>
      <c r="D116">
        <v>6054.53</v>
      </c>
      <c r="E116">
        <v>1068.44999999999</v>
      </c>
      <c r="F116">
        <v>85</v>
      </c>
    </row>
    <row r="117" spans="1:6" x14ac:dyDescent="0.2">
      <c r="A117" t="s">
        <v>11</v>
      </c>
      <c r="B117" t="s">
        <v>8</v>
      </c>
      <c r="C117">
        <v>14146.01</v>
      </c>
      <c r="D117">
        <v>9194.91</v>
      </c>
      <c r="E117">
        <v>4951.1000000000004</v>
      </c>
      <c r="F117">
        <v>65</v>
      </c>
    </row>
    <row r="118" spans="1:6" x14ac:dyDescent="0.2">
      <c r="A118" t="s">
        <v>11</v>
      </c>
      <c r="B118" t="s">
        <v>9</v>
      </c>
      <c r="C118">
        <v>10913.35</v>
      </c>
      <c r="D118">
        <v>9276.35</v>
      </c>
      <c r="E118">
        <v>1637</v>
      </c>
      <c r="F118">
        <v>85</v>
      </c>
    </row>
    <row r="119" spans="1:6" x14ac:dyDescent="0.2">
      <c r="A119" t="s">
        <v>11</v>
      </c>
      <c r="B119" t="s">
        <v>10</v>
      </c>
      <c r="C119">
        <v>10771.62</v>
      </c>
      <c r="D119">
        <v>2692.91</v>
      </c>
      <c r="E119">
        <v>8078.71</v>
      </c>
      <c r="F119">
        <v>25</v>
      </c>
    </row>
    <row r="120" spans="1:6" x14ac:dyDescent="0.2">
      <c r="A120" t="s">
        <v>11</v>
      </c>
      <c r="B120" t="s">
        <v>7</v>
      </c>
      <c r="C120">
        <v>14312.07</v>
      </c>
      <c r="D120">
        <v>7871.64</v>
      </c>
      <c r="E120">
        <v>6440.4299999999903</v>
      </c>
      <c r="F120">
        <v>55</v>
      </c>
    </row>
    <row r="121" spans="1:6" x14ac:dyDescent="0.2">
      <c r="A121" t="s">
        <v>11</v>
      </c>
      <c r="B121" t="s">
        <v>9</v>
      </c>
      <c r="C121">
        <v>10021.92</v>
      </c>
      <c r="D121">
        <v>8518.6299999999992</v>
      </c>
      <c r="E121">
        <v>1503.29</v>
      </c>
      <c r="F121">
        <v>85</v>
      </c>
    </row>
    <row r="122" spans="1:6" x14ac:dyDescent="0.2">
      <c r="A122" t="s">
        <v>11</v>
      </c>
      <c r="B122" t="s">
        <v>9</v>
      </c>
      <c r="C122">
        <v>10696.89</v>
      </c>
      <c r="D122">
        <v>9092.36</v>
      </c>
      <c r="E122">
        <v>1604.52999999999</v>
      </c>
      <c r="F122">
        <v>85</v>
      </c>
    </row>
    <row r="123" spans="1:6" x14ac:dyDescent="0.2">
      <c r="A123" t="s">
        <v>11</v>
      </c>
      <c r="B123" t="s">
        <v>8</v>
      </c>
      <c r="C123">
        <v>10528.54</v>
      </c>
      <c r="D123">
        <v>6843.55</v>
      </c>
      <c r="E123">
        <v>3684.99</v>
      </c>
      <c r="F123">
        <v>65</v>
      </c>
    </row>
    <row r="124" spans="1:6" x14ac:dyDescent="0.2">
      <c r="A124" t="s">
        <v>11</v>
      </c>
      <c r="B124" t="s">
        <v>7</v>
      </c>
      <c r="C124">
        <v>10495.07</v>
      </c>
      <c r="D124">
        <v>5772.29</v>
      </c>
      <c r="E124">
        <v>4722.78</v>
      </c>
      <c r="F124">
        <v>55</v>
      </c>
    </row>
    <row r="125" spans="1:6" x14ac:dyDescent="0.2">
      <c r="A125" t="s">
        <v>11</v>
      </c>
      <c r="B125" t="s">
        <v>8</v>
      </c>
      <c r="C125">
        <v>7432.21</v>
      </c>
      <c r="D125">
        <v>4830.9399999999996</v>
      </c>
      <c r="E125">
        <v>2601.27</v>
      </c>
      <c r="F125">
        <v>65</v>
      </c>
    </row>
    <row r="126" spans="1:6" x14ac:dyDescent="0.2">
      <c r="A126" t="s">
        <v>11</v>
      </c>
      <c r="B126" t="s">
        <v>7</v>
      </c>
      <c r="C126">
        <v>4634.51</v>
      </c>
      <c r="D126">
        <v>2548.98</v>
      </c>
      <c r="E126">
        <v>2085.5300000000002</v>
      </c>
      <c r="F126">
        <v>55</v>
      </c>
    </row>
    <row r="127" spans="1:6" x14ac:dyDescent="0.2">
      <c r="A127" t="s">
        <v>11</v>
      </c>
      <c r="B127" t="s">
        <v>9</v>
      </c>
      <c r="C127">
        <v>11071.91</v>
      </c>
      <c r="D127">
        <v>9411.1200000000008</v>
      </c>
      <c r="E127">
        <v>1660.78999999999</v>
      </c>
      <c r="F127">
        <v>85</v>
      </c>
    </row>
    <row r="128" spans="1:6" x14ac:dyDescent="0.2">
      <c r="A128" t="s">
        <v>11</v>
      </c>
      <c r="B128" t="s">
        <v>8</v>
      </c>
      <c r="C128">
        <v>7320.64</v>
      </c>
      <c r="D128">
        <v>4758.42</v>
      </c>
      <c r="E128">
        <v>2562.2199999999998</v>
      </c>
      <c r="F128">
        <v>65</v>
      </c>
    </row>
    <row r="129" spans="1:6" x14ac:dyDescent="0.2">
      <c r="A129" t="s">
        <v>11</v>
      </c>
      <c r="B129" t="s">
        <v>7</v>
      </c>
      <c r="C129">
        <v>8995.5499999999993</v>
      </c>
      <c r="D129">
        <v>4947.55</v>
      </c>
      <c r="E129">
        <v>4047.99999999999</v>
      </c>
      <c r="F129">
        <v>55</v>
      </c>
    </row>
    <row r="130" spans="1:6" x14ac:dyDescent="0.2">
      <c r="A130" t="s">
        <v>11</v>
      </c>
      <c r="B130" t="s">
        <v>9</v>
      </c>
      <c r="C130">
        <v>11648.73</v>
      </c>
      <c r="D130">
        <v>9901.42</v>
      </c>
      <c r="E130">
        <v>1747.3099999999899</v>
      </c>
      <c r="F130">
        <v>85</v>
      </c>
    </row>
    <row r="131" spans="1:6" x14ac:dyDescent="0.2">
      <c r="A131" t="s">
        <v>11</v>
      </c>
      <c r="B131" t="s">
        <v>8</v>
      </c>
      <c r="C131">
        <v>6187.38</v>
      </c>
      <c r="D131">
        <v>4021.8</v>
      </c>
      <c r="E131">
        <v>2165.58</v>
      </c>
      <c r="F131">
        <v>65</v>
      </c>
    </row>
    <row r="132" spans="1:6" x14ac:dyDescent="0.2">
      <c r="A132" t="s">
        <v>11</v>
      </c>
      <c r="B132" t="s">
        <v>8</v>
      </c>
      <c r="C132">
        <v>17167.11</v>
      </c>
      <c r="D132">
        <v>11158.62</v>
      </c>
      <c r="E132">
        <v>6008.49</v>
      </c>
      <c r="F132">
        <v>65</v>
      </c>
    </row>
    <row r="133" spans="1:6" x14ac:dyDescent="0.2">
      <c r="A133" t="s">
        <v>11</v>
      </c>
      <c r="B133" t="s">
        <v>9</v>
      </c>
      <c r="C133">
        <v>15530.24</v>
      </c>
      <c r="D133">
        <v>13200.7</v>
      </c>
      <c r="E133">
        <v>2329.53999999999</v>
      </c>
      <c r="F133">
        <v>85</v>
      </c>
    </row>
    <row r="134" spans="1:6" x14ac:dyDescent="0.2">
      <c r="A134" t="s">
        <v>11</v>
      </c>
      <c r="B134" t="s">
        <v>9</v>
      </c>
      <c r="C134">
        <v>10045.43</v>
      </c>
      <c r="D134">
        <v>8538.6200000000008</v>
      </c>
      <c r="E134">
        <v>1506.8099999999899</v>
      </c>
      <c r="F134">
        <v>85</v>
      </c>
    </row>
    <row r="135" spans="1:6" x14ac:dyDescent="0.2">
      <c r="A135" t="s">
        <v>11</v>
      </c>
      <c r="B135" t="s">
        <v>8</v>
      </c>
      <c r="C135">
        <v>11326.22</v>
      </c>
      <c r="D135">
        <v>7362.04</v>
      </c>
      <c r="E135">
        <v>3964.1799999999898</v>
      </c>
      <c r="F135">
        <v>65</v>
      </c>
    </row>
    <row r="136" spans="1:6" x14ac:dyDescent="0.2">
      <c r="A136" t="s">
        <v>11</v>
      </c>
      <c r="B136" t="s">
        <v>9</v>
      </c>
      <c r="C136">
        <v>8666.5</v>
      </c>
      <c r="D136">
        <v>7366.52</v>
      </c>
      <c r="E136">
        <v>1299.97999999999</v>
      </c>
      <c r="F136">
        <v>85</v>
      </c>
    </row>
    <row r="137" spans="1:6" x14ac:dyDescent="0.2">
      <c r="A137" t="s">
        <v>11</v>
      </c>
      <c r="B137" t="s">
        <v>8</v>
      </c>
      <c r="C137">
        <v>4992.6000000000004</v>
      </c>
      <c r="D137">
        <v>3245.19</v>
      </c>
      <c r="E137">
        <v>1747.41</v>
      </c>
      <c r="F137">
        <v>65</v>
      </c>
    </row>
    <row r="138" spans="1:6" x14ac:dyDescent="0.2">
      <c r="A138" t="s">
        <v>11</v>
      </c>
      <c r="B138" t="s">
        <v>8</v>
      </c>
      <c r="C138">
        <v>7684.54</v>
      </c>
      <c r="D138">
        <v>4994.95</v>
      </c>
      <c r="E138">
        <v>2689.59</v>
      </c>
      <c r="F138">
        <v>65</v>
      </c>
    </row>
    <row r="139" spans="1:6" x14ac:dyDescent="0.2">
      <c r="A139" t="s">
        <v>11</v>
      </c>
      <c r="B139" t="s">
        <v>8</v>
      </c>
      <c r="C139">
        <v>14983.91</v>
      </c>
      <c r="D139">
        <v>9739.5400000000009</v>
      </c>
      <c r="E139">
        <v>5244.3699999999899</v>
      </c>
      <c r="F139">
        <v>65</v>
      </c>
    </row>
    <row r="140" spans="1:6" x14ac:dyDescent="0.2">
      <c r="A140" t="s">
        <v>11</v>
      </c>
      <c r="B140" t="s">
        <v>8</v>
      </c>
      <c r="C140">
        <v>10953.3</v>
      </c>
      <c r="D140">
        <v>7119.64</v>
      </c>
      <c r="E140">
        <v>3833.6599999999899</v>
      </c>
      <c r="F140">
        <v>65</v>
      </c>
    </row>
    <row r="141" spans="1:6" x14ac:dyDescent="0.2">
      <c r="A141" t="s">
        <v>11</v>
      </c>
      <c r="B141" t="s">
        <v>9</v>
      </c>
      <c r="C141">
        <v>5163.32</v>
      </c>
      <c r="D141">
        <v>4388.82</v>
      </c>
      <c r="E141">
        <v>774.5</v>
      </c>
      <c r="F141">
        <v>85</v>
      </c>
    </row>
    <row r="142" spans="1:6" x14ac:dyDescent="0.2">
      <c r="A142" t="s">
        <v>11</v>
      </c>
      <c r="B142" t="s">
        <v>9</v>
      </c>
      <c r="C142">
        <v>11131.89</v>
      </c>
      <c r="D142">
        <v>9462.11</v>
      </c>
      <c r="E142">
        <v>1669.77999999999</v>
      </c>
      <c r="F142">
        <v>85</v>
      </c>
    </row>
    <row r="143" spans="1:6" x14ac:dyDescent="0.2">
      <c r="A143" t="s">
        <v>11</v>
      </c>
      <c r="B143" t="s">
        <v>9</v>
      </c>
      <c r="C143">
        <v>14954.05</v>
      </c>
      <c r="D143">
        <v>12710.94</v>
      </c>
      <c r="E143">
        <v>2243.1099999999901</v>
      </c>
      <c r="F143">
        <v>85</v>
      </c>
    </row>
    <row r="144" spans="1:6" x14ac:dyDescent="0.2">
      <c r="A144" t="s">
        <v>11</v>
      </c>
      <c r="B144" t="s">
        <v>7</v>
      </c>
      <c r="C144">
        <v>7807.78</v>
      </c>
      <c r="D144">
        <v>4294.28</v>
      </c>
      <c r="E144">
        <v>3513.5</v>
      </c>
      <c r="F144">
        <v>55</v>
      </c>
    </row>
    <row r="145" spans="1:6" x14ac:dyDescent="0.2">
      <c r="A145" t="s">
        <v>11</v>
      </c>
      <c r="B145" t="s">
        <v>9</v>
      </c>
      <c r="C145">
        <v>6160.24</v>
      </c>
      <c r="D145">
        <v>5236.2</v>
      </c>
      <c r="E145">
        <v>924.04</v>
      </c>
      <c r="F145">
        <v>85</v>
      </c>
    </row>
    <row r="146" spans="1:6" x14ac:dyDescent="0.2">
      <c r="A146" t="s">
        <v>11</v>
      </c>
      <c r="B146" t="s">
        <v>8</v>
      </c>
      <c r="C146">
        <v>9287.82</v>
      </c>
      <c r="D146">
        <v>6037.08</v>
      </c>
      <c r="E146">
        <v>3250.74</v>
      </c>
      <c r="F146">
        <v>65</v>
      </c>
    </row>
    <row r="147" spans="1:6" x14ac:dyDescent="0.2">
      <c r="A147" t="s">
        <v>11</v>
      </c>
      <c r="B147" t="s">
        <v>8</v>
      </c>
      <c r="C147">
        <v>15616.02</v>
      </c>
      <c r="D147">
        <v>10150.41</v>
      </c>
      <c r="E147">
        <v>5465.61</v>
      </c>
      <c r="F147">
        <v>65</v>
      </c>
    </row>
    <row r="148" spans="1:6" x14ac:dyDescent="0.2">
      <c r="A148" t="s">
        <v>11</v>
      </c>
      <c r="B148" t="s">
        <v>7</v>
      </c>
      <c r="C148">
        <v>6115.17</v>
      </c>
      <c r="D148">
        <v>3363.34</v>
      </c>
      <c r="E148">
        <v>2751.83</v>
      </c>
      <c r="F148">
        <v>55</v>
      </c>
    </row>
    <row r="149" spans="1:6" x14ac:dyDescent="0.2">
      <c r="A149" t="s">
        <v>11</v>
      </c>
      <c r="B149" t="s">
        <v>7</v>
      </c>
      <c r="C149">
        <v>9684.64</v>
      </c>
      <c r="D149">
        <v>5326.55</v>
      </c>
      <c r="E149">
        <v>4358.0899999999901</v>
      </c>
      <c r="F149">
        <v>55</v>
      </c>
    </row>
    <row r="150" spans="1:6" x14ac:dyDescent="0.2">
      <c r="A150" t="s">
        <v>11</v>
      </c>
      <c r="B150" t="s">
        <v>7</v>
      </c>
      <c r="C150">
        <v>14629.2</v>
      </c>
      <c r="D150">
        <v>8046.06</v>
      </c>
      <c r="E150">
        <v>6583.14</v>
      </c>
      <c r="F150">
        <v>55</v>
      </c>
    </row>
    <row r="151" spans="1:6" x14ac:dyDescent="0.2">
      <c r="A151" t="s">
        <v>11</v>
      </c>
      <c r="B151" t="s">
        <v>8</v>
      </c>
      <c r="C151">
        <v>13969.79</v>
      </c>
      <c r="D151">
        <v>9080.36</v>
      </c>
      <c r="E151">
        <v>4889.43</v>
      </c>
      <c r="F151">
        <v>65</v>
      </c>
    </row>
    <row r="152" spans="1:6" x14ac:dyDescent="0.2">
      <c r="A152" t="s">
        <v>11</v>
      </c>
      <c r="B152" t="s">
        <v>7</v>
      </c>
      <c r="C152">
        <v>10175.530000000001</v>
      </c>
      <c r="D152">
        <v>5596.54</v>
      </c>
      <c r="E152">
        <v>4578.99</v>
      </c>
      <c r="F152">
        <v>55</v>
      </c>
    </row>
    <row r="153" spans="1:6" x14ac:dyDescent="0.2">
      <c r="A153" t="s">
        <v>11</v>
      </c>
      <c r="B153" t="s">
        <v>9</v>
      </c>
      <c r="C153">
        <v>17043.990000000002</v>
      </c>
      <c r="D153">
        <v>14487.39</v>
      </c>
      <c r="E153">
        <v>2556.6</v>
      </c>
      <c r="F153">
        <v>85</v>
      </c>
    </row>
    <row r="154" spans="1:6" x14ac:dyDescent="0.2">
      <c r="A154" t="s">
        <v>11</v>
      </c>
      <c r="B154" t="s">
        <v>9</v>
      </c>
      <c r="C154">
        <v>9392.6299999999992</v>
      </c>
      <c r="D154">
        <v>7983.74</v>
      </c>
      <c r="E154">
        <v>1408.8899999999901</v>
      </c>
      <c r="F154">
        <v>85</v>
      </c>
    </row>
    <row r="155" spans="1:6" x14ac:dyDescent="0.2">
      <c r="A155" t="s">
        <v>11</v>
      </c>
      <c r="B155" t="s">
        <v>9</v>
      </c>
      <c r="C155">
        <v>10182.69</v>
      </c>
      <c r="D155">
        <v>8655.2900000000009</v>
      </c>
      <c r="E155">
        <v>1527.3999999999901</v>
      </c>
      <c r="F155">
        <v>85</v>
      </c>
    </row>
    <row r="156" spans="1:6" x14ac:dyDescent="0.2">
      <c r="A156" t="s">
        <v>11</v>
      </c>
      <c r="B156" t="s">
        <v>10</v>
      </c>
      <c r="C156">
        <v>4307.87</v>
      </c>
      <c r="D156">
        <v>1076.97</v>
      </c>
      <c r="E156">
        <v>3230.8999999999901</v>
      </c>
      <c r="F156">
        <v>25</v>
      </c>
    </row>
    <row r="157" spans="1:6" x14ac:dyDescent="0.2">
      <c r="A157" t="s">
        <v>11</v>
      </c>
      <c r="B157" t="s">
        <v>9</v>
      </c>
      <c r="C157">
        <v>13841.62</v>
      </c>
      <c r="D157">
        <v>11765.38</v>
      </c>
      <c r="E157">
        <v>2076.2399999999998</v>
      </c>
      <c r="F157">
        <v>85</v>
      </c>
    </row>
    <row r="158" spans="1:6" x14ac:dyDescent="0.2">
      <c r="A158" t="s">
        <v>11</v>
      </c>
      <c r="B158" t="s">
        <v>7</v>
      </c>
      <c r="C158">
        <v>12060.55</v>
      </c>
      <c r="D158">
        <v>6633.3</v>
      </c>
      <c r="E158">
        <v>5427.24999999999</v>
      </c>
      <c r="F158">
        <v>55</v>
      </c>
    </row>
    <row r="159" spans="1:6" x14ac:dyDescent="0.2">
      <c r="A159" t="s">
        <v>11</v>
      </c>
      <c r="B159" t="s">
        <v>7</v>
      </c>
      <c r="C159">
        <v>10212.92</v>
      </c>
      <c r="D159">
        <v>5617.11</v>
      </c>
      <c r="E159">
        <v>4595.8100000000004</v>
      </c>
      <c r="F159">
        <v>55</v>
      </c>
    </row>
    <row r="160" spans="1:6" x14ac:dyDescent="0.2">
      <c r="A160" t="s">
        <v>11</v>
      </c>
      <c r="B160" t="s">
        <v>10</v>
      </c>
      <c r="C160">
        <v>8540.7000000000007</v>
      </c>
      <c r="D160">
        <v>2135.1799999999998</v>
      </c>
      <c r="E160">
        <v>6405.52</v>
      </c>
      <c r="F160">
        <v>25</v>
      </c>
    </row>
    <row r="161" spans="1:6" x14ac:dyDescent="0.2">
      <c r="A161" t="s">
        <v>11</v>
      </c>
      <c r="B161" t="s">
        <v>8</v>
      </c>
      <c r="C161">
        <v>10622.79</v>
      </c>
      <c r="D161">
        <v>6904.81</v>
      </c>
      <c r="E161">
        <v>3717.98</v>
      </c>
      <c r="F161">
        <v>65</v>
      </c>
    </row>
    <row r="162" spans="1:6" x14ac:dyDescent="0.2">
      <c r="A162" t="s">
        <v>11</v>
      </c>
      <c r="B162" t="s">
        <v>9</v>
      </c>
      <c r="C162">
        <v>8133.29</v>
      </c>
      <c r="D162">
        <v>6913.3</v>
      </c>
      <c r="E162">
        <v>1219.98999999999</v>
      </c>
      <c r="F162">
        <v>85</v>
      </c>
    </row>
    <row r="163" spans="1:6" x14ac:dyDescent="0.2">
      <c r="A163" t="s">
        <v>11</v>
      </c>
      <c r="B163" t="s">
        <v>9</v>
      </c>
      <c r="C163">
        <v>8933.5300000000007</v>
      </c>
      <c r="D163">
        <v>7593.5</v>
      </c>
      <c r="E163">
        <v>1340.03</v>
      </c>
      <c r="F163">
        <v>85</v>
      </c>
    </row>
    <row r="164" spans="1:6" x14ac:dyDescent="0.2">
      <c r="A164" t="s">
        <v>11</v>
      </c>
      <c r="B164" t="s">
        <v>9</v>
      </c>
      <c r="C164">
        <v>11086.04</v>
      </c>
      <c r="D164">
        <v>9423.1299999999992</v>
      </c>
      <c r="E164">
        <v>1662.91</v>
      </c>
      <c r="F164">
        <v>85</v>
      </c>
    </row>
    <row r="165" spans="1:6" x14ac:dyDescent="0.2">
      <c r="A165" t="s">
        <v>11</v>
      </c>
      <c r="B165" t="s">
        <v>9</v>
      </c>
      <c r="C165">
        <v>11743.94</v>
      </c>
      <c r="D165">
        <v>9982.35</v>
      </c>
      <c r="E165">
        <v>1761.59</v>
      </c>
      <c r="F165">
        <v>85</v>
      </c>
    </row>
    <row r="166" spans="1:6" x14ac:dyDescent="0.2">
      <c r="A166" t="s">
        <v>11</v>
      </c>
      <c r="B166" t="s">
        <v>8</v>
      </c>
      <c r="C166">
        <v>11655.21</v>
      </c>
      <c r="D166">
        <v>7575.89</v>
      </c>
      <c r="E166">
        <v>4079.3199999999902</v>
      </c>
      <c r="F166">
        <v>65</v>
      </c>
    </row>
    <row r="167" spans="1:6" x14ac:dyDescent="0.2">
      <c r="A167" t="s">
        <v>11</v>
      </c>
      <c r="B167" t="s">
        <v>9</v>
      </c>
      <c r="C167">
        <v>7869.62</v>
      </c>
      <c r="D167">
        <v>6689.18</v>
      </c>
      <c r="E167">
        <v>1180.4399999999901</v>
      </c>
      <c r="F167">
        <v>85</v>
      </c>
    </row>
    <row r="168" spans="1:6" x14ac:dyDescent="0.2">
      <c r="A168" t="s">
        <v>11</v>
      </c>
      <c r="B168" t="s">
        <v>10</v>
      </c>
      <c r="C168">
        <v>4636.99</v>
      </c>
      <c r="D168">
        <v>1159.25</v>
      </c>
      <c r="E168">
        <v>3477.74</v>
      </c>
      <c r="F168">
        <v>25</v>
      </c>
    </row>
    <row r="169" spans="1:6" x14ac:dyDescent="0.2">
      <c r="A169" t="s">
        <v>11</v>
      </c>
      <c r="B169" t="s">
        <v>9</v>
      </c>
      <c r="C169">
        <v>6338.29</v>
      </c>
      <c r="D169">
        <v>5387.55</v>
      </c>
      <c r="E169">
        <v>950.73999999999899</v>
      </c>
      <c r="F169">
        <v>85</v>
      </c>
    </row>
    <row r="170" spans="1:6" x14ac:dyDescent="0.2">
      <c r="A170" t="s">
        <v>11</v>
      </c>
      <c r="B170" t="s">
        <v>8</v>
      </c>
      <c r="C170">
        <v>14658.58</v>
      </c>
      <c r="D170">
        <v>9528.08</v>
      </c>
      <c r="E170">
        <v>5130.5</v>
      </c>
      <c r="F170">
        <v>65</v>
      </c>
    </row>
    <row r="171" spans="1:6" x14ac:dyDescent="0.2">
      <c r="A171" t="s">
        <v>11</v>
      </c>
      <c r="B171" t="s">
        <v>9</v>
      </c>
      <c r="C171">
        <v>8681.4500000000007</v>
      </c>
      <c r="D171">
        <v>7379.23</v>
      </c>
      <c r="E171">
        <v>1302.22</v>
      </c>
      <c r="F171">
        <v>85</v>
      </c>
    </row>
    <row r="172" spans="1:6" x14ac:dyDescent="0.2">
      <c r="A172" t="s">
        <v>11</v>
      </c>
      <c r="B172" t="s">
        <v>8</v>
      </c>
      <c r="C172">
        <v>10036.44</v>
      </c>
      <c r="D172">
        <v>6523.69</v>
      </c>
      <c r="E172">
        <v>3512.75</v>
      </c>
      <c r="F172">
        <v>65</v>
      </c>
    </row>
    <row r="173" spans="1:6" x14ac:dyDescent="0.2">
      <c r="A173" t="s">
        <v>11</v>
      </c>
      <c r="B173" t="s">
        <v>9</v>
      </c>
      <c r="C173">
        <v>12792.8</v>
      </c>
      <c r="D173">
        <v>10873.88</v>
      </c>
      <c r="E173">
        <v>1918.92</v>
      </c>
      <c r="F173">
        <v>85</v>
      </c>
    </row>
    <row r="174" spans="1:6" x14ac:dyDescent="0.2">
      <c r="A174" t="s">
        <v>11</v>
      </c>
      <c r="B174" t="s">
        <v>8</v>
      </c>
      <c r="C174">
        <v>9282.33</v>
      </c>
      <c r="D174">
        <v>6033.51</v>
      </c>
      <c r="E174">
        <v>3248.8199999999902</v>
      </c>
      <c r="F174">
        <v>65</v>
      </c>
    </row>
    <row r="175" spans="1:6" x14ac:dyDescent="0.2">
      <c r="A175" t="s">
        <v>11</v>
      </c>
      <c r="B175" t="s">
        <v>8</v>
      </c>
      <c r="C175">
        <v>12561.92</v>
      </c>
      <c r="D175">
        <v>8165.25</v>
      </c>
      <c r="E175">
        <v>4396.67</v>
      </c>
      <c r="F175">
        <v>65</v>
      </c>
    </row>
    <row r="176" spans="1:6" x14ac:dyDescent="0.2">
      <c r="A176" t="s">
        <v>11</v>
      </c>
      <c r="B176" t="s">
        <v>10</v>
      </c>
      <c r="C176">
        <v>9186.8799999999992</v>
      </c>
      <c r="D176">
        <v>2296.7199999999998</v>
      </c>
      <c r="E176">
        <v>6890.16</v>
      </c>
      <c r="F176">
        <v>25</v>
      </c>
    </row>
    <row r="177" spans="1:6" x14ac:dyDescent="0.2">
      <c r="A177" t="s">
        <v>11</v>
      </c>
      <c r="B177" t="s">
        <v>10</v>
      </c>
      <c r="C177">
        <v>8160.72</v>
      </c>
      <c r="D177">
        <v>2040.18</v>
      </c>
      <c r="E177">
        <v>6120.54</v>
      </c>
      <c r="F177">
        <v>25</v>
      </c>
    </row>
    <row r="178" spans="1:6" x14ac:dyDescent="0.2">
      <c r="A178" t="s">
        <v>11</v>
      </c>
      <c r="B178" t="s">
        <v>10</v>
      </c>
      <c r="C178">
        <v>15736.95</v>
      </c>
      <c r="D178">
        <v>3934.24</v>
      </c>
      <c r="E178">
        <v>11802.71</v>
      </c>
      <c r="F178">
        <v>25</v>
      </c>
    </row>
    <row r="179" spans="1:6" x14ac:dyDescent="0.2">
      <c r="A179" t="s">
        <v>11</v>
      </c>
      <c r="B179" t="s">
        <v>7</v>
      </c>
      <c r="C179">
        <v>13195.68</v>
      </c>
      <c r="D179">
        <v>7257.62</v>
      </c>
      <c r="E179">
        <v>5938.06</v>
      </c>
      <c r="F179">
        <v>55</v>
      </c>
    </row>
    <row r="180" spans="1:6" x14ac:dyDescent="0.2">
      <c r="A180" t="s">
        <v>11</v>
      </c>
      <c r="B180" t="s">
        <v>8</v>
      </c>
      <c r="C180">
        <v>13614.77</v>
      </c>
      <c r="D180">
        <v>8849.6</v>
      </c>
      <c r="E180">
        <v>4765.17</v>
      </c>
      <c r="F180">
        <v>65</v>
      </c>
    </row>
    <row r="181" spans="1:6" x14ac:dyDescent="0.2">
      <c r="A181" t="s">
        <v>11</v>
      </c>
      <c r="B181" t="s">
        <v>9</v>
      </c>
      <c r="C181">
        <v>6410.02</v>
      </c>
      <c r="D181">
        <v>5448.52</v>
      </c>
      <c r="E181">
        <v>961.5</v>
      </c>
      <c r="F181">
        <v>85</v>
      </c>
    </row>
    <row r="182" spans="1:6" x14ac:dyDescent="0.2">
      <c r="A182" t="s">
        <v>11</v>
      </c>
      <c r="B182" t="s">
        <v>9</v>
      </c>
      <c r="C182">
        <v>7902.56</v>
      </c>
      <c r="D182">
        <v>6717.18</v>
      </c>
      <c r="E182">
        <v>1185.3800000000001</v>
      </c>
      <c r="F182">
        <v>85</v>
      </c>
    </row>
    <row r="183" spans="1:6" x14ac:dyDescent="0.2">
      <c r="A183" t="s">
        <v>11</v>
      </c>
      <c r="B183" t="s">
        <v>7</v>
      </c>
      <c r="C183">
        <v>9973.5499999999993</v>
      </c>
      <c r="D183">
        <v>5485.45</v>
      </c>
      <c r="E183">
        <v>4488.0999999999904</v>
      </c>
      <c r="F183">
        <v>55</v>
      </c>
    </row>
    <row r="184" spans="1:6" x14ac:dyDescent="0.2">
      <c r="A184" t="s">
        <v>11</v>
      </c>
      <c r="B184" t="s">
        <v>7</v>
      </c>
      <c r="C184">
        <v>9072.7199999999993</v>
      </c>
      <c r="D184">
        <v>4990</v>
      </c>
      <c r="E184">
        <v>4082.7199999999898</v>
      </c>
      <c r="F184">
        <v>55</v>
      </c>
    </row>
    <row r="185" spans="1:6" x14ac:dyDescent="0.2">
      <c r="A185" t="s">
        <v>11</v>
      </c>
      <c r="B185" t="s">
        <v>8</v>
      </c>
      <c r="C185">
        <v>12411.44</v>
      </c>
      <c r="D185">
        <v>8067.44</v>
      </c>
      <c r="E185">
        <v>4344</v>
      </c>
      <c r="F185">
        <v>65</v>
      </c>
    </row>
    <row r="186" spans="1:6" x14ac:dyDescent="0.2">
      <c r="A186" t="s">
        <v>11</v>
      </c>
      <c r="B186" t="s">
        <v>8</v>
      </c>
      <c r="C186">
        <v>11841.52</v>
      </c>
      <c r="D186">
        <v>7696.99</v>
      </c>
      <c r="E186">
        <v>4144.53</v>
      </c>
      <c r="F186">
        <v>65</v>
      </c>
    </row>
    <row r="187" spans="1:6" x14ac:dyDescent="0.2">
      <c r="A187" t="s">
        <v>11</v>
      </c>
      <c r="B187" t="s">
        <v>8</v>
      </c>
      <c r="C187">
        <v>14073.64</v>
      </c>
      <c r="D187">
        <v>9147.8700000000008</v>
      </c>
      <c r="E187">
        <v>4925.7699999999904</v>
      </c>
      <c r="F187">
        <v>65</v>
      </c>
    </row>
    <row r="188" spans="1:6" x14ac:dyDescent="0.2">
      <c r="A188" t="s">
        <v>11</v>
      </c>
      <c r="B188" t="s">
        <v>8</v>
      </c>
      <c r="C188">
        <v>8700.09</v>
      </c>
      <c r="D188">
        <v>5655.06</v>
      </c>
      <c r="E188">
        <v>3045.0299999999902</v>
      </c>
      <c r="F188">
        <v>65</v>
      </c>
    </row>
    <row r="189" spans="1:6" x14ac:dyDescent="0.2">
      <c r="A189" t="s">
        <v>11</v>
      </c>
      <c r="B189" t="s">
        <v>9</v>
      </c>
      <c r="C189">
        <v>10611.47</v>
      </c>
      <c r="D189">
        <v>9019.75</v>
      </c>
      <c r="E189">
        <v>1591.71999999999</v>
      </c>
      <c r="F189">
        <v>85</v>
      </c>
    </row>
    <row r="190" spans="1:6" x14ac:dyDescent="0.2">
      <c r="A190" t="s">
        <v>11</v>
      </c>
      <c r="B190" t="s">
        <v>9</v>
      </c>
      <c r="C190">
        <v>13463.06</v>
      </c>
      <c r="D190">
        <v>11443.6</v>
      </c>
      <c r="E190">
        <v>2019.45999999999</v>
      </c>
      <c r="F190">
        <v>85</v>
      </c>
    </row>
    <row r="191" spans="1:6" x14ac:dyDescent="0.2">
      <c r="A191" t="s">
        <v>11</v>
      </c>
      <c r="B191" t="s">
        <v>10</v>
      </c>
      <c r="C191">
        <v>8567.85</v>
      </c>
      <c r="D191">
        <v>2141.96</v>
      </c>
      <c r="E191">
        <v>6425.89</v>
      </c>
      <c r="F191">
        <v>25</v>
      </c>
    </row>
    <row r="192" spans="1:6" x14ac:dyDescent="0.2">
      <c r="A192" t="s">
        <v>11</v>
      </c>
      <c r="B192" t="s">
        <v>10</v>
      </c>
      <c r="C192">
        <v>8007.32</v>
      </c>
      <c r="D192">
        <v>2001.83</v>
      </c>
      <c r="E192">
        <v>6005.49</v>
      </c>
      <c r="F192">
        <v>25</v>
      </c>
    </row>
    <row r="193" spans="1:6" x14ac:dyDescent="0.2">
      <c r="A193" t="s">
        <v>11</v>
      </c>
      <c r="B193" t="s">
        <v>8</v>
      </c>
      <c r="C193">
        <v>14080.33</v>
      </c>
      <c r="D193">
        <v>9152.2099999999991</v>
      </c>
      <c r="E193">
        <v>4928.12</v>
      </c>
      <c r="F193">
        <v>65</v>
      </c>
    </row>
    <row r="194" spans="1:6" x14ac:dyDescent="0.2">
      <c r="A194" t="s">
        <v>11</v>
      </c>
      <c r="B194" t="s">
        <v>9</v>
      </c>
      <c r="C194">
        <v>3888.77</v>
      </c>
      <c r="D194">
        <v>3305.45</v>
      </c>
      <c r="E194">
        <v>583.32000000000005</v>
      </c>
      <c r="F194">
        <v>85</v>
      </c>
    </row>
    <row r="195" spans="1:6" x14ac:dyDescent="0.2">
      <c r="A195" t="s">
        <v>11</v>
      </c>
      <c r="B195" t="s">
        <v>10</v>
      </c>
      <c r="C195">
        <v>14710.1</v>
      </c>
      <c r="D195">
        <v>3677.53</v>
      </c>
      <c r="E195">
        <v>11032.57</v>
      </c>
      <c r="F195">
        <v>25</v>
      </c>
    </row>
    <row r="196" spans="1:6" x14ac:dyDescent="0.2">
      <c r="A196" t="s">
        <v>11</v>
      </c>
      <c r="B196" t="s">
        <v>8</v>
      </c>
      <c r="C196">
        <v>9093.0300000000007</v>
      </c>
      <c r="D196">
        <v>5910.47</v>
      </c>
      <c r="E196">
        <v>3182.56</v>
      </c>
      <c r="F196">
        <v>65</v>
      </c>
    </row>
    <row r="197" spans="1:6" x14ac:dyDescent="0.2">
      <c r="A197" t="s">
        <v>11</v>
      </c>
      <c r="B197" t="s">
        <v>7</v>
      </c>
      <c r="C197">
        <v>9986.31</v>
      </c>
      <c r="D197">
        <v>5492.47</v>
      </c>
      <c r="E197">
        <v>4493.8399999999901</v>
      </c>
      <c r="F197">
        <v>55</v>
      </c>
    </row>
    <row r="198" spans="1:6" x14ac:dyDescent="0.2">
      <c r="A198" t="s">
        <v>11</v>
      </c>
      <c r="B198" t="s">
        <v>8</v>
      </c>
      <c r="C198">
        <v>13813.41</v>
      </c>
      <c r="D198">
        <v>8978.7199999999993</v>
      </c>
      <c r="E198">
        <v>4834.6899999999996</v>
      </c>
      <c r="F198">
        <v>65</v>
      </c>
    </row>
    <row r="199" spans="1:6" x14ac:dyDescent="0.2">
      <c r="A199" t="s">
        <v>11</v>
      </c>
      <c r="B199" t="s">
        <v>9</v>
      </c>
      <c r="C199">
        <v>12312.59</v>
      </c>
      <c r="D199">
        <v>10465.700000000001</v>
      </c>
      <c r="E199">
        <v>1846.8899999999901</v>
      </c>
      <c r="F199">
        <v>85</v>
      </c>
    </row>
    <row r="200" spans="1:6" x14ac:dyDescent="0.2">
      <c r="A200" t="s">
        <v>11</v>
      </c>
      <c r="B200" t="s">
        <v>10</v>
      </c>
      <c r="C200">
        <v>5663.17</v>
      </c>
      <c r="D200">
        <v>1415.79</v>
      </c>
      <c r="E200">
        <v>4247.38</v>
      </c>
      <c r="F200">
        <v>25</v>
      </c>
    </row>
    <row r="201" spans="1:6" x14ac:dyDescent="0.2">
      <c r="A201" t="s">
        <v>11</v>
      </c>
      <c r="B201" t="s">
        <v>9</v>
      </c>
      <c r="C201">
        <v>7467.59</v>
      </c>
      <c r="D201">
        <v>6347.45</v>
      </c>
      <c r="E201">
        <v>1120.1400000000001</v>
      </c>
      <c r="F201">
        <v>85</v>
      </c>
    </row>
    <row r="202" spans="1:6" x14ac:dyDescent="0.2">
      <c r="A202" t="s">
        <v>12</v>
      </c>
      <c r="B202" t="s">
        <v>8</v>
      </c>
      <c r="C202">
        <v>10208.959999999999</v>
      </c>
      <c r="D202">
        <v>6635.82</v>
      </c>
      <c r="E202">
        <v>3573.1399999999899</v>
      </c>
      <c r="F202">
        <v>65</v>
      </c>
    </row>
    <row r="203" spans="1:6" x14ac:dyDescent="0.2">
      <c r="A203" t="s">
        <v>12</v>
      </c>
      <c r="B203" t="s">
        <v>10</v>
      </c>
      <c r="C203">
        <v>12950.51</v>
      </c>
      <c r="D203">
        <v>3237.63</v>
      </c>
      <c r="E203">
        <v>9712.8799999999992</v>
      </c>
      <c r="F203">
        <v>25</v>
      </c>
    </row>
    <row r="204" spans="1:6" x14ac:dyDescent="0.2">
      <c r="A204" t="s">
        <v>12</v>
      </c>
      <c r="B204" t="s">
        <v>8</v>
      </c>
      <c r="C204">
        <v>11420.88</v>
      </c>
      <c r="D204">
        <v>7423.57</v>
      </c>
      <c r="E204">
        <v>3997.3099999999899</v>
      </c>
      <c r="F204">
        <v>65</v>
      </c>
    </row>
    <row r="205" spans="1:6" x14ac:dyDescent="0.2">
      <c r="A205" t="s">
        <v>12</v>
      </c>
      <c r="B205" t="s">
        <v>7</v>
      </c>
      <c r="C205">
        <v>10163.049999999999</v>
      </c>
      <c r="D205">
        <v>5589.68</v>
      </c>
      <c r="E205">
        <v>4573.3699999999899</v>
      </c>
      <c r="F205">
        <v>55</v>
      </c>
    </row>
    <row r="206" spans="1:6" x14ac:dyDescent="0.2">
      <c r="A206" t="s">
        <v>12</v>
      </c>
      <c r="B206" t="s">
        <v>9</v>
      </c>
      <c r="C206">
        <v>8704.17</v>
      </c>
      <c r="D206">
        <v>7398.54</v>
      </c>
      <c r="E206">
        <v>1305.6300000000001</v>
      </c>
      <c r="F206">
        <v>85</v>
      </c>
    </row>
    <row r="207" spans="1:6" x14ac:dyDescent="0.2">
      <c r="A207" t="s">
        <v>12</v>
      </c>
      <c r="B207" t="s">
        <v>9</v>
      </c>
      <c r="C207">
        <v>15579.9</v>
      </c>
      <c r="D207">
        <v>13242.91</v>
      </c>
      <c r="E207">
        <v>2336.9899999999998</v>
      </c>
      <c r="F207">
        <v>85</v>
      </c>
    </row>
    <row r="208" spans="1:6" x14ac:dyDescent="0.2">
      <c r="A208" t="s">
        <v>12</v>
      </c>
      <c r="B208" t="s">
        <v>9</v>
      </c>
      <c r="C208">
        <v>9667.2000000000007</v>
      </c>
      <c r="D208">
        <v>8217.1200000000008</v>
      </c>
      <c r="E208">
        <v>1450.08</v>
      </c>
      <c r="F208">
        <v>85</v>
      </c>
    </row>
    <row r="209" spans="1:6" x14ac:dyDescent="0.2">
      <c r="A209" t="s">
        <v>12</v>
      </c>
      <c r="B209" t="s">
        <v>9</v>
      </c>
      <c r="C209">
        <v>12928.93</v>
      </c>
      <c r="D209">
        <v>10989.59</v>
      </c>
      <c r="E209">
        <v>1939.34</v>
      </c>
      <c r="F209">
        <v>85</v>
      </c>
    </row>
    <row r="210" spans="1:6" x14ac:dyDescent="0.2">
      <c r="A210" t="s">
        <v>12</v>
      </c>
      <c r="B210" t="s">
        <v>8</v>
      </c>
      <c r="C210">
        <v>9526.83</v>
      </c>
      <c r="D210">
        <v>6192.44</v>
      </c>
      <c r="E210">
        <v>3334.39</v>
      </c>
      <c r="F210">
        <v>65</v>
      </c>
    </row>
    <row r="211" spans="1:6" x14ac:dyDescent="0.2">
      <c r="A211" t="s">
        <v>12</v>
      </c>
      <c r="B211" t="s">
        <v>7</v>
      </c>
      <c r="C211">
        <v>5934.83</v>
      </c>
      <c r="D211">
        <v>3264.16</v>
      </c>
      <c r="E211">
        <v>2670.67</v>
      </c>
      <c r="F211">
        <v>55</v>
      </c>
    </row>
    <row r="212" spans="1:6" x14ac:dyDescent="0.2">
      <c r="A212" t="s">
        <v>12</v>
      </c>
      <c r="B212" t="s">
        <v>9</v>
      </c>
      <c r="C212">
        <v>4261.88</v>
      </c>
      <c r="D212">
        <v>3622.6</v>
      </c>
      <c r="E212">
        <v>639.28</v>
      </c>
      <c r="F212">
        <v>85</v>
      </c>
    </row>
    <row r="213" spans="1:6" x14ac:dyDescent="0.2">
      <c r="A213" t="s">
        <v>12</v>
      </c>
      <c r="B213" t="s">
        <v>9</v>
      </c>
      <c r="C213">
        <v>11087.43</v>
      </c>
      <c r="D213">
        <v>9424.32</v>
      </c>
      <c r="E213">
        <v>1663.11</v>
      </c>
      <c r="F213">
        <v>85</v>
      </c>
    </row>
    <row r="214" spans="1:6" x14ac:dyDescent="0.2">
      <c r="A214" t="s">
        <v>12</v>
      </c>
      <c r="B214" t="s">
        <v>9</v>
      </c>
      <c r="C214">
        <v>12225.89</v>
      </c>
      <c r="D214">
        <v>10392.01</v>
      </c>
      <c r="E214">
        <v>1833.8799999999901</v>
      </c>
      <c r="F214">
        <v>85</v>
      </c>
    </row>
    <row r="215" spans="1:6" x14ac:dyDescent="0.2">
      <c r="A215" t="s">
        <v>12</v>
      </c>
      <c r="B215" t="s">
        <v>7</v>
      </c>
      <c r="C215">
        <v>14429.98</v>
      </c>
      <c r="D215">
        <v>7936.49</v>
      </c>
      <c r="E215">
        <v>6493.49</v>
      </c>
      <c r="F215">
        <v>55</v>
      </c>
    </row>
    <row r="216" spans="1:6" x14ac:dyDescent="0.2">
      <c r="A216" t="s">
        <v>12</v>
      </c>
      <c r="B216" t="s">
        <v>10</v>
      </c>
      <c r="C216">
        <v>9779.17</v>
      </c>
      <c r="D216">
        <v>2444.79</v>
      </c>
      <c r="E216">
        <v>7334.38</v>
      </c>
      <c r="F216">
        <v>25</v>
      </c>
    </row>
    <row r="217" spans="1:6" x14ac:dyDescent="0.2">
      <c r="A217" t="s">
        <v>12</v>
      </c>
      <c r="B217" t="s">
        <v>9</v>
      </c>
      <c r="C217">
        <v>9153.34</v>
      </c>
      <c r="D217">
        <v>7780.34</v>
      </c>
      <c r="E217">
        <v>1373</v>
      </c>
      <c r="F217">
        <v>85</v>
      </c>
    </row>
    <row r="218" spans="1:6" x14ac:dyDescent="0.2">
      <c r="A218" t="s">
        <v>12</v>
      </c>
      <c r="B218" t="s">
        <v>10</v>
      </c>
      <c r="C218">
        <v>10886.43</v>
      </c>
      <c r="D218">
        <v>2721.61</v>
      </c>
      <c r="E218">
        <v>8164.82</v>
      </c>
      <c r="F218">
        <v>25</v>
      </c>
    </row>
    <row r="219" spans="1:6" x14ac:dyDescent="0.2">
      <c r="A219" t="s">
        <v>12</v>
      </c>
      <c r="B219" t="s">
        <v>7</v>
      </c>
      <c r="C219">
        <v>6707.96</v>
      </c>
      <c r="D219">
        <v>3689.38</v>
      </c>
      <c r="E219">
        <v>3018.58</v>
      </c>
      <c r="F219">
        <v>55</v>
      </c>
    </row>
    <row r="220" spans="1:6" x14ac:dyDescent="0.2">
      <c r="A220" t="s">
        <v>12</v>
      </c>
      <c r="B220" t="s">
        <v>10</v>
      </c>
      <c r="C220">
        <v>10826.91</v>
      </c>
      <c r="D220">
        <v>2706.73</v>
      </c>
      <c r="E220">
        <v>8120.18</v>
      </c>
      <c r="F220">
        <v>25</v>
      </c>
    </row>
    <row r="221" spans="1:6" x14ac:dyDescent="0.2">
      <c r="A221" t="s">
        <v>12</v>
      </c>
      <c r="B221" t="s">
        <v>7</v>
      </c>
      <c r="C221">
        <v>10836.17</v>
      </c>
      <c r="D221">
        <v>5959.89</v>
      </c>
      <c r="E221">
        <v>4876.28</v>
      </c>
      <c r="F221">
        <v>55</v>
      </c>
    </row>
    <row r="222" spans="1:6" x14ac:dyDescent="0.2">
      <c r="A222" t="s">
        <v>12</v>
      </c>
      <c r="B222" t="s">
        <v>7</v>
      </c>
      <c r="C222">
        <v>9674.11</v>
      </c>
      <c r="D222">
        <v>5320.76</v>
      </c>
      <c r="E222">
        <v>4353.3500000000004</v>
      </c>
      <c r="F222">
        <v>55</v>
      </c>
    </row>
    <row r="223" spans="1:6" x14ac:dyDescent="0.2">
      <c r="A223" t="s">
        <v>12</v>
      </c>
      <c r="B223" t="s">
        <v>9</v>
      </c>
      <c r="C223">
        <v>9833.5499999999993</v>
      </c>
      <c r="D223">
        <v>8358.52</v>
      </c>
      <c r="E223">
        <v>1475.02999999999</v>
      </c>
      <c r="F223">
        <v>85</v>
      </c>
    </row>
    <row r="224" spans="1:6" x14ac:dyDescent="0.2">
      <c r="A224" t="s">
        <v>12</v>
      </c>
      <c r="B224" t="s">
        <v>9</v>
      </c>
      <c r="C224">
        <v>14548.7</v>
      </c>
      <c r="D224">
        <v>12366.4</v>
      </c>
      <c r="E224">
        <v>2182.3000000000002</v>
      </c>
      <c r="F224">
        <v>85</v>
      </c>
    </row>
    <row r="225" spans="1:6" x14ac:dyDescent="0.2">
      <c r="A225" t="s">
        <v>12</v>
      </c>
      <c r="B225" t="s">
        <v>10</v>
      </c>
      <c r="C225">
        <v>10937.38</v>
      </c>
      <c r="D225">
        <v>2734.34</v>
      </c>
      <c r="E225">
        <v>8203.03999999999</v>
      </c>
      <c r="F225">
        <v>25</v>
      </c>
    </row>
    <row r="226" spans="1:6" x14ac:dyDescent="0.2">
      <c r="A226" t="s">
        <v>12</v>
      </c>
      <c r="B226" t="s">
        <v>9</v>
      </c>
      <c r="C226">
        <v>9060.93</v>
      </c>
      <c r="D226">
        <v>7701.79</v>
      </c>
      <c r="E226">
        <v>1359.14</v>
      </c>
      <c r="F226">
        <v>85</v>
      </c>
    </row>
    <row r="227" spans="1:6" x14ac:dyDescent="0.2">
      <c r="A227" t="s">
        <v>12</v>
      </c>
      <c r="B227" t="s">
        <v>8</v>
      </c>
      <c r="C227">
        <v>5202.63</v>
      </c>
      <c r="D227">
        <v>3381.71</v>
      </c>
      <c r="E227">
        <v>1820.92</v>
      </c>
      <c r="F227">
        <v>65</v>
      </c>
    </row>
    <row r="228" spans="1:6" x14ac:dyDescent="0.2">
      <c r="A228" t="s">
        <v>12</v>
      </c>
      <c r="B228" t="s">
        <v>10</v>
      </c>
      <c r="C228">
        <v>5894.23</v>
      </c>
      <c r="D228">
        <v>1473.56</v>
      </c>
      <c r="E228">
        <v>4420.67</v>
      </c>
      <c r="F228">
        <v>25</v>
      </c>
    </row>
    <row r="229" spans="1:6" x14ac:dyDescent="0.2">
      <c r="A229" t="s">
        <v>12</v>
      </c>
      <c r="B229" t="s">
        <v>9</v>
      </c>
      <c r="C229">
        <v>11606.48</v>
      </c>
      <c r="D229">
        <v>9865.51</v>
      </c>
      <c r="E229">
        <v>1740.96999999999</v>
      </c>
      <c r="F229">
        <v>85</v>
      </c>
    </row>
    <row r="230" spans="1:6" x14ac:dyDescent="0.2">
      <c r="A230" t="s">
        <v>12</v>
      </c>
      <c r="B230" t="s">
        <v>9</v>
      </c>
      <c r="C230">
        <v>7516.32</v>
      </c>
      <c r="D230">
        <v>6388.87</v>
      </c>
      <c r="E230">
        <v>1127.44999999999</v>
      </c>
      <c r="F230">
        <v>85</v>
      </c>
    </row>
    <row r="231" spans="1:6" x14ac:dyDescent="0.2">
      <c r="A231" t="s">
        <v>12</v>
      </c>
      <c r="B231" t="s">
        <v>9</v>
      </c>
      <c r="C231">
        <v>9088.41</v>
      </c>
      <c r="D231">
        <v>7725.15</v>
      </c>
      <c r="E231">
        <v>1363.26</v>
      </c>
      <c r="F231">
        <v>85</v>
      </c>
    </row>
    <row r="232" spans="1:6" x14ac:dyDescent="0.2">
      <c r="A232" t="s">
        <v>12</v>
      </c>
      <c r="B232" t="s">
        <v>7</v>
      </c>
      <c r="C232">
        <v>10344.58</v>
      </c>
      <c r="D232">
        <v>5689.52</v>
      </c>
      <c r="E232">
        <v>4655.0599999999904</v>
      </c>
      <c r="F232">
        <v>55</v>
      </c>
    </row>
    <row r="233" spans="1:6" x14ac:dyDescent="0.2">
      <c r="A233" t="s">
        <v>12</v>
      </c>
      <c r="B233" t="s">
        <v>9</v>
      </c>
      <c r="C233">
        <v>14653.79</v>
      </c>
      <c r="D233">
        <v>12455.72</v>
      </c>
      <c r="E233">
        <v>2198.0700000000002</v>
      </c>
      <c r="F233">
        <v>85</v>
      </c>
    </row>
    <row r="234" spans="1:6" x14ac:dyDescent="0.2">
      <c r="A234" t="s">
        <v>12</v>
      </c>
      <c r="B234" t="s">
        <v>9</v>
      </c>
      <c r="C234">
        <v>13079.74</v>
      </c>
      <c r="D234">
        <v>11117.78</v>
      </c>
      <c r="E234">
        <v>1961.95999999999</v>
      </c>
      <c r="F234">
        <v>85</v>
      </c>
    </row>
    <row r="235" spans="1:6" x14ac:dyDescent="0.2">
      <c r="A235" t="s">
        <v>12</v>
      </c>
      <c r="B235" t="s">
        <v>7</v>
      </c>
      <c r="C235">
        <v>10498.26</v>
      </c>
      <c r="D235">
        <v>5774.04</v>
      </c>
      <c r="E235">
        <v>4724.22</v>
      </c>
      <c r="F235">
        <v>55</v>
      </c>
    </row>
    <row r="236" spans="1:6" x14ac:dyDescent="0.2">
      <c r="A236" t="s">
        <v>12</v>
      </c>
      <c r="B236" t="s">
        <v>8</v>
      </c>
      <c r="C236">
        <v>14467.14</v>
      </c>
      <c r="D236">
        <v>9403.64</v>
      </c>
      <c r="E236">
        <v>5063.5</v>
      </c>
      <c r="F236">
        <v>65</v>
      </c>
    </row>
    <row r="237" spans="1:6" x14ac:dyDescent="0.2">
      <c r="A237" t="s">
        <v>12</v>
      </c>
      <c r="B237" t="s">
        <v>8</v>
      </c>
      <c r="C237">
        <v>12633.48</v>
      </c>
      <c r="D237">
        <v>8211.76</v>
      </c>
      <c r="E237">
        <v>4421.7199999999903</v>
      </c>
      <c r="F237">
        <v>65</v>
      </c>
    </row>
    <row r="238" spans="1:6" x14ac:dyDescent="0.2">
      <c r="A238" t="s">
        <v>12</v>
      </c>
      <c r="B238" t="s">
        <v>8</v>
      </c>
      <c r="C238">
        <v>4807.38</v>
      </c>
      <c r="D238">
        <v>3124.8</v>
      </c>
      <c r="E238">
        <v>1682.58</v>
      </c>
      <c r="F238">
        <v>65</v>
      </c>
    </row>
    <row r="239" spans="1:6" x14ac:dyDescent="0.2">
      <c r="A239" t="s">
        <v>12</v>
      </c>
      <c r="B239" t="s">
        <v>7</v>
      </c>
      <c r="C239">
        <v>14333.02</v>
      </c>
      <c r="D239">
        <v>7883.16</v>
      </c>
      <c r="E239">
        <v>6449.86</v>
      </c>
      <c r="F239">
        <v>55</v>
      </c>
    </row>
    <row r="240" spans="1:6" x14ac:dyDescent="0.2">
      <c r="A240" t="s">
        <v>12</v>
      </c>
      <c r="B240" t="s">
        <v>10</v>
      </c>
      <c r="C240">
        <v>10600.4</v>
      </c>
      <c r="D240">
        <v>2650.1</v>
      </c>
      <c r="E240">
        <v>7950.2999999999902</v>
      </c>
      <c r="F240">
        <v>25</v>
      </c>
    </row>
    <row r="241" spans="1:6" x14ac:dyDescent="0.2">
      <c r="A241" t="s">
        <v>12</v>
      </c>
      <c r="B241" t="s">
        <v>9</v>
      </c>
      <c r="C241">
        <v>3487.4</v>
      </c>
      <c r="D241">
        <v>2964.29</v>
      </c>
      <c r="E241">
        <v>523.11</v>
      </c>
      <c r="F241">
        <v>85</v>
      </c>
    </row>
    <row r="242" spans="1:6" x14ac:dyDescent="0.2">
      <c r="A242" t="s">
        <v>12</v>
      </c>
      <c r="B242" t="s">
        <v>7</v>
      </c>
      <c r="C242">
        <v>12944.64</v>
      </c>
      <c r="D242">
        <v>7119.55</v>
      </c>
      <c r="E242">
        <v>5825.0899999999901</v>
      </c>
      <c r="F242">
        <v>55</v>
      </c>
    </row>
    <row r="243" spans="1:6" x14ac:dyDescent="0.2">
      <c r="A243" t="s">
        <v>12</v>
      </c>
      <c r="B243" t="s">
        <v>10</v>
      </c>
      <c r="C243">
        <v>10992.1</v>
      </c>
      <c r="D243">
        <v>2748.03</v>
      </c>
      <c r="E243">
        <v>8244.07</v>
      </c>
      <c r="F243">
        <v>25</v>
      </c>
    </row>
    <row r="244" spans="1:6" x14ac:dyDescent="0.2">
      <c r="A244" t="s">
        <v>12</v>
      </c>
      <c r="B244" t="s">
        <v>8</v>
      </c>
      <c r="C244">
        <v>9955.85</v>
      </c>
      <c r="D244">
        <v>6471.3</v>
      </c>
      <c r="E244">
        <v>3484.55</v>
      </c>
      <c r="F244">
        <v>65</v>
      </c>
    </row>
    <row r="245" spans="1:6" x14ac:dyDescent="0.2">
      <c r="A245" t="s">
        <v>12</v>
      </c>
      <c r="B245" t="s">
        <v>8</v>
      </c>
      <c r="C245">
        <v>12389.22</v>
      </c>
      <c r="D245">
        <v>8052.99</v>
      </c>
      <c r="E245">
        <v>4336.2299999999996</v>
      </c>
      <c r="F245">
        <v>65</v>
      </c>
    </row>
    <row r="246" spans="1:6" x14ac:dyDescent="0.2">
      <c r="A246" t="s">
        <v>12</v>
      </c>
      <c r="B246" t="s">
        <v>7</v>
      </c>
      <c r="C246">
        <v>9981.4</v>
      </c>
      <c r="D246">
        <v>5489.77</v>
      </c>
      <c r="E246">
        <v>4491.6299999999901</v>
      </c>
      <c r="F246">
        <v>55</v>
      </c>
    </row>
    <row r="247" spans="1:6" x14ac:dyDescent="0.2">
      <c r="A247" t="s">
        <v>12</v>
      </c>
      <c r="B247" t="s">
        <v>8</v>
      </c>
      <c r="C247">
        <v>11209.36</v>
      </c>
      <c r="D247">
        <v>7286.08</v>
      </c>
      <c r="E247">
        <v>3923.28</v>
      </c>
      <c r="F247">
        <v>65</v>
      </c>
    </row>
    <row r="248" spans="1:6" x14ac:dyDescent="0.2">
      <c r="A248" t="s">
        <v>12</v>
      </c>
      <c r="B248" t="s">
        <v>9</v>
      </c>
      <c r="C248">
        <v>9631.27</v>
      </c>
      <c r="D248">
        <v>8186.58</v>
      </c>
      <c r="E248">
        <v>1444.69</v>
      </c>
      <c r="F248">
        <v>85</v>
      </c>
    </row>
    <row r="249" spans="1:6" x14ac:dyDescent="0.2">
      <c r="A249" t="s">
        <v>12</v>
      </c>
      <c r="B249" t="s">
        <v>8</v>
      </c>
      <c r="C249">
        <v>9774.09</v>
      </c>
      <c r="D249">
        <v>6353.16</v>
      </c>
      <c r="E249">
        <v>3420.93</v>
      </c>
      <c r="F249">
        <v>65</v>
      </c>
    </row>
    <row r="250" spans="1:6" x14ac:dyDescent="0.2">
      <c r="A250" t="s">
        <v>12</v>
      </c>
      <c r="B250" t="s">
        <v>8</v>
      </c>
      <c r="C250">
        <v>6696.24</v>
      </c>
      <c r="D250">
        <v>4352.5600000000004</v>
      </c>
      <c r="E250">
        <v>2343.6799999999898</v>
      </c>
      <c r="F250">
        <v>65</v>
      </c>
    </row>
    <row r="251" spans="1:6" x14ac:dyDescent="0.2">
      <c r="A251" t="s">
        <v>12</v>
      </c>
      <c r="B251" t="s">
        <v>8</v>
      </c>
      <c r="C251">
        <v>11463.02</v>
      </c>
      <c r="D251">
        <v>7450.96</v>
      </c>
      <c r="E251">
        <v>4012.06</v>
      </c>
      <c r="F251">
        <v>65</v>
      </c>
    </row>
    <row r="252" spans="1:6" x14ac:dyDescent="0.2">
      <c r="A252" t="s">
        <v>12</v>
      </c>
      <c r="B252" t="s">
        <v>9</v>
      </c>
      <c r="C252">
        <v>16165.28</v>
      </c>
      <c r="D252">
        <v>13740.49</v>
      </c>
      <c r="E252">
        <v>2424.79</v>
      </c>
      <c r="F252">
        <v>85</v>
      </c>
    </row>
    <row r="253" spans="1:6" x14ac:dyDescent="0.2">
      <c r="A253" t="s">
        <v>12</v>
      </c>
      <c r="B253" t="s">
        <v>8</v>
      </c>
      <c r="C253">
        <v>9041.92</v>
      </c>
      <c r="D253">
        <v>5877.25</v>
      </c>
      <c r="E253">
        <v>3164.67</v>
      </c>
      <c r="F253">
        <v>65</v>
      </c>
    </row>
    <row r="254" spans="1:6" x14ac:dyDescent="0.2">
      <c r="A254" t="s">
        <v>12</v>
      </c>
      <c r="B254" t="s">
        <v>8</v>
      </c>
      <c r="C254">
        <v>7553.5</v>
      </c>
      <c r="D254">
        <v>4909.78</v>
      </c>
      <c r="E254">
        <v>2643.72</v>
      </c>
      <c r="F254">
        <v>65</v>
      </c>
    </row>
    <row r="255" spans="1:6" x14ac:dyDescent="0.2">
      <c r="A255" t="s">
        <v>12</v>
      </c>
      <c r="B255" t="s">
        <v>8</v>
      </c>
      <c r="C255">
        <v>8322.92</v>
      </c>
      <c r="D255">
        <v>5409.9</v>
      </c>
      <c r="E255">
        <v>2913.02</v>
      </c>
      <c r="F255">
        <v>65</v>
      </c>
    </row>
    <row r="256" spans="1:6" x14ac:dyDescent="0.2">
      <c r="A256" t="s">
        <v>12</v>
      </c>
      <c r="B256" t="s">
        <v>8</v>
      </c>
      <c r="C256">
        <v>5697.73</v>
      </c>
      <c r="D256">
        <v>3703.52</v>
      </c>
      <c r="E256">
        <v>1994.20999999999</v>
      </c>
      <c r="F256">
        <v>65</v>
      </c>
    </row>
    <row r="257" spans="1:6" x14ac:dyDescent="0.2">
      <c r="A257" t="s">
        <v>12</v>
      </c>
      <c r="B257" t="s">
        <v>7</v>
      </c>
      <c r="C257">
        <v>9425.4</v>
      </c>
      <c r="D257">
        <v>5183.97</v>
      </c>
      <c r="E257">
        <v>4241.4299999999903</v>
      </c>
      <c r="F257">
        <v>55</v>
      </c>
    </row>
    <row r="258" spans="1:6" x14ac:dyDescent="0.2">
      <c r="A258" t="s">
        <v>12</v>
      </c>
      <c r="B258" t="s">
        <v>7</v>
      </c>
      <c r="C258">
        <v>9694.15</v>
      </c>
      <c r="D258">
        <v>5331.78</v>
      </c>
      <c r="E258">
        <v>4362.37</v>
      </c>
      <c r="F258">
        <v>55</v>
      </c>
    </row>
    <row r="259" spans="1:6" x14ac:dyDescent="0.2">
      <c r="A259" t="s">
        <v>12</v>
      </c>
      <c r="B259" t="s">
        <v>9</v>
      </c>
      <c r="C259">
        <v>10126.4</v>
      </c>
      <c r="D259">
        <v>8607.44</v>
      </c>
      <c r="E259">
        <v>1518.95999999999</v>
      </c>
      <c r="F259">
        <v>85</v>
      </c>
    </row>
    <row r="260" spans="1:6" x14ac:dyDescent="0.2">
      <c r="A260" t="s">
        <v>12</v>
      </c>
      <c r="B260" t="s">
        <v>9</v>
      </c>
      <c r="C260">
        <v>12554.06</v>
      </c>
      <c r="D260">
        <v>10670.95</v>
      </c>
      <c r="E260">
        <v>1883.1099999999899</v>
      </c>
      <c r="F260">
        <v>85</v>
      </c>
    </row>
    <row r="261" spans="1:6" x14ac:dyDescent="0.2">
      <c r="A261" t="s">
        <v>12</v>
      </c>
      <c r="B261" t="s">
        <v>9</v>
      </c>
      <c r="C261">
        <v>8138.91</v>
      </c>
      <c r="D261">
        <v>6918.07</v>
      </c>
      <c r="E261">
        <v>1220.8399999999999</v>
      </c>
      <c r="F261">
        <v>85</v>
      </c>
    </row>
    <row r="262" spans="1:6" x14ac:dyDescent="0.2">
      <c r="A262" t="s">
        <v>12</v>
      </c>
      <c r="B262" t="s">
        <v>8</v>
      </c>
      <c r="C262">
        <v>8358.16</v>
      </c>
      <c r="D262">
        <v>5432.8</v>
      </c>
      <c r="E262">
        <v>2925.3599999999901</v>
      </c>
      <c r="F262">
        <v>65</v>
      </c>
    </row>
    <row r="263" spans="1:6" x14ac:dyDescent="0.2">
      <c r="A263" t="s">
        <v>12</v>
      </c>
      <c r="B263" t="s">
        <v>7</v>
      </c>
      <c r="C263">
        <v>6315.84</v>
      </c>
      <c r="D263">
        <v>3473.71</v>
      </c>
      <c r="E263">
        <v>2842.13</v>
      </c>
      <c r="F263">
        <v>55</v>
      </c>
    </row>
    <row r="264" spans="1:6" x14ac:dyDescent="0.2">
      <c r="A264" t="s">
        <v>12</v>
      </c>
      <c r="B264" t="s">
        <v>9</v>
      </c>
      <c r="C264">
        <v>8120.43</v>
      </c>
      <c r="D264">
        <v>6902.37</v>
      </c>
      <c r="E264">
        <v>1218.06</v>
      </c>
      <c r="F264">
        <v>85</v>
      </c>
    </row>
    <row r="265" spans="1:6" x14ac:dyDescent="0.2">
      <c r="A265" t="s">
        <v>12</v>
      </c>
      <c r="B265" t="s">
        <v>9</v>
      </c>
      <c r="C265">
        <v>3423.61</v>
      </c>
      <c r="D265">
        <v>2910.07</v>
      </c>
      <c r="E265">
        <v>513.54</v>
      </c>
      <c r="F265">
        <v>85</v>
      </c>
    </row>
    <row r="266" spans="1:6" x14ac:dyDescent="0.2">
      <c r="A266" t="s">
        <v>12</v>
      </c>
      <c r="B266" t="s">
        <v>8</v>
      </c>
      <c r="C266">
        <v>12554.21</v>
      </c>
      <c r="D266">
        <v>8160.24</v>
      </c>
      <c r="E266">
        <v>4393.9699999999903</v>
      </c>
      <c r="F266">
        <v>65</v>
      </c>
    </row>
    <row r="267" spans="1:6" x14ac:dyDescent="0.2">
      <c r="A267" t="s">
        <v>12</v>
      </c>
      <c r="B267" t="s">
        <v>9</v>
      </c>
      <c r="C267">
        <v>7036.19</v>
      </c>
      <c r="D267">
        <v>5980.76</v>
      </c>
      <c r="E267">
        <v>1055.4299999999901</v>
      </c>
      <c r="F267">
        <v>85</v>
      </c>
    </row>
    <row r="268" spans="1:6" x14ac:dyDescent="0.2">
      <c r="A268" t="s">
        <v>12</v>
      </c>
      <c r="B268" t="s">
        <v>7</v>
      </c>
      <c r="C268">
        <v>7083.19</v>
      </c>
      <c r="D268">
        <v>3895.75</v>
      </c>
      <c r="E268">
        <v>3187.4399999999901</v>
      </c>
      <c r="F268">
        <v>55</v>
      </c>
    </row>
    <row r="269" spans="1:6" x14ac:dyDescent="0.2">
      <c r="A269" t="s">
        <v>12</v>
      </c>
      <c r="B269" t="s">
        <v>7</v>
      </c>
      <c r="C269">
        <v>10238.450000000001</v>
      </c>
      <c r="D269">
        <v>5631.15</v>
      </c>
      <c r="E269">
        <v>4607.3</v>
      </c>
      <c r="F269">
        <v>55</v>
      </c>
    </row>
    <row r="270" spans="1:6" x14ac:dyDescent="0.2">
      <c r="A270" t="s">
        <v>12</v>
      </c>
      <c r="B270" t="s">
        <v>7</v>
      </c>
      <c r="C270">
        <v>7568.48</v>
      </c>
      <c r="D270">
        <v>4162.66</v>
      </c>
      <c r="E270">
        <v>3405.8199999999902</v>
      </c>
      <c r="F270">
        <v>55</v>
      </c>
    </row>
    <row r="271" spans="1:6" x14ac:dyDescent="0.2">
      <c r="A271" t="s">
        <v>12</v>
      </c>
      <c r="B271" t="s">
        <v>7</v>
      </c>
      <c r="C271">
        <v>7286.37</v>
      </c>
      <c r="D271">
        <v>4007.5</v>
      </c>
      <c r="E271">
        <v>3278.87</v>
      </c>
      <c r="F271">
        <v>55</v>
      </c>
    </row>
    <row r="272" spans="1:6" x14ac:dyDescent="0.2">
      <c r="A272" t="s">
        <v>12</v>
      </c>
      <c r="B272" t="s">
        <v>8</v>
      </c>
      <c r="C272">
        <v>6816.21</v>
      </c>
      <c r="D272">
        <v>4430.54</v>
      </c>
      <c r="E272">
        <v>2385.67</v>
      </c>
      <c r="F272">
        <v>65</v>
      </c>
    </row>
    <row r="273" spans="1:6" x14ac:dyDescent="0.2">
      <c r="A273" t="s">
        <v>12</v>
      </c>
      <c r="B273" t="s">
        <v>8</v>
      </c>
      <c r="C273">
        <v>8036.88</v>
      </c>
      <c r="D273">
        <v>5223.97</v>
      </c>
      <c r="E273">
        <v>2812.91</v>
      </c>
      <c r="F273">
        <v>65</v>
      </c>
    </row>
    <row r="274" spans="1:6" x14ac:dyDescent="0.2">
      <c r="A274" t="s">
        <v>12</v>
      </c>
      <c r="B274" t="s">
        <v>8</v>
      </c>
      <c r="C274">
        <v>10654.67</v>
      </c>
      <c r="D274">
        <v>6925.54</v>
      </c>
      <c r="E274">
        <v>3729.13</v>
      </c>
      <c r="F274">
        <v>65</v>
      </c>
    </row>
    <row r="275" spans="1:6" x14ac:dyDescent="0.2">
      <c r="A275" t="s">
        <v>12</v>
      </c>
      <c r="B275" t="s">
        <v>9</v>
      </c>
      <c r="C275">
        <v>12731.69</v>
      </c>
      <c r="D275">
        <v>10821.94</v>
      </c>
      <c r="E275">
        <v>1909.75</v>
      </c>
      <c r="F275">
        <v>85</v>
      </c>
    </row>
    <row r="276" spans="1:6" x14ac:dyDescent="0.2">
      <c r="A276" t="s">
        <v>12</v>
      </c>
      <c r="B276" t="s">
        <v>9</v>
      </c>
      <c r="C276">
        <v>7378.08</v>
      </c>
      <c r="D276">
        <v>6271.37</v>
      </c>
      <c r="E276">
        <v>1106.71</v>
      </c>
      <c r="F276">
        <v>85</v>
      </c>
    </row>
    <row r="277" spans="1:6" x14ac:dyDescent="0.2">
      <c r="A277" t="s">
        <v>12</v>
      </c>
      <c r="B277" t="s">
        <v>7</v>
      </c>
      <c r="C277">
        <v>9990.11</v>
      </c>
      <c r="D277">
        <v>5494.56</v>
      </c>
      <c r="E277">
        <v>4495.55</v>
      </c>
      <c r="F277">
        <v>55</v>
      </c>
    </row>
    <row r="278" spans="1:6" x14ac:dyDescent="0.2">
      <c r="A278" t="s">
        <v>12</v>
      </c>
      <c r="B278" t="s">
        <v>9</v>
      </c>
      <c r="C278">
        <v>8678.49</v>
      </c>
      <c r="D278">
        <v>7376.72</v>
      </c>
      <c r="E278">
        <v>1301.76999999999</v>
      </c>
      <c r="F278">
        <v>85</v>
      </c>
    </row>
    <row r="279" spans="1:6" x14ac:dyDescent="0.2">
      <c r="A279" t="s">
        <v>12</v>
      </c>
      <c r="B279" t="s">
        <v>8</v>
      </c>
      <c r="C279">
        <v>14746.11</v>
      </c>
      <c r="D279">
        <v>9584.9699999999993</v>
      </c>
      <c r="E279">
        <v>5161.1400000000003</v>
      </c>
      <c r="F279">
        <v>65</v>
      </c>
    </row>
    <row r="280" spans="1:6" x14ac:dyDescent="0.2">
      <c r="A280" t="s">
        <v>12</v>
      </c>
      <c r="B280" t="s">
        <v>8</v>
      </c>
      <c r="C280">
        <v>14187.2</v>
      </c>
      <c r="D280">
        <v>9221.68</v>
      </c>
      <c r="E280">
        <v>4965.5200000000004</v>
      </c>
      <c r="F280">
        <v>65</v>
      </c>
    </row>
    <row r="281" spans="1:6" x14ac:dyDescent="0.2">
      <c r="A281" t="s">
        <v>12</v>
      </c>
      <c r="B281" t="s">
        <v>9</v>
      </c>
      <c r="C281">
        <v>6071.05</v>
      </c>
      <c r="D281">
        <v>5160.3900000000003</v>
      </c>
      <c r="E281">
        <v>910.65999999999894</v>
      </c>
      <c r="F281">
        <v>85</v>
      </c>
    </row>
    <row r="282" spans="1:6" x14ac:dyDescent="0.2">
      <c r="A282" t="s">
        <v>12</v>
      </c>
      <c r="B282" t="s">
        <v>7</v>
      </c>
      <c r="C282">
        <v>10083.07</v>
      </c>
      <c r="D282">
        <v>5545.69</v>
      </c>
      <c r="E282">
        <v>4537.38</v>
      </c>
      <c r="F282">
        <v>55</v>
      </c>
    </row>
    <row r="283" spans="1:6" x14ac:dyDescent="0.2">
      <c r="A283" t="s">
        <v>12</v>
      </c>
      <c r="B283" t="s">
        <v>8</v>
      </c>
      <c r="C283">
        <v>10382.1</v>
      </c>
      <c r="D283">
        <v>6748.37</v>
      </c>
      <c r="E283">
        <v>3633.73</v>
      </c>
      <c r="F283">
        <v>65</v>
      </c>
    </row>
    <row r="284" spans="1:6" x14ac:dyDescent="0.2">
      <c r="A284" t="s">
        <v>12</v>
      </c>
      <c r="B284" t="s">
        <v>8</v>
      </c>
      <c r="C284">
        <v>8625.67</v>
      </c>
      <c r="D284">
        <v>5606.69</v>
      </c>
      <c r="E284">
        <v>3018.98</v>
      </c>
      <c r="F284">
        <v>65</v>
      </c>
    </row>
    <row r="285" spans="1:6" x14ac:dyDescent="0.2">
      <c r="A285" t="s">
        <v>12</v>
      </c>
      <c r="B285" t="s">
        <v>8</v>
      </c>
      <c r="C285">
        <v>8122.02</v>
      </c>
      <c r="D285">
        <v>5279.31</v>
      </c>
      <c r="E285">
        <v>2842.71</v>
      </c>
      <c r="F285">
        <v>65</v>
      </c>
    </row>
    <row r="286" spans="1:6" x14ac:dyDescent="0.2">
      <c r="A286" t="s">
        <v>12</v>
      </c>
      <c r="B286" t="s">
        <v>8</v>
      </c>
      <c r="C286">
        <v>7514.25</v>
      </c>
      <c r="D286">
        <v>4884.26</v>
      </c>
      <c r="E286">
        <v>2629.99</v>
      </c>
      <c r="F286">
        <v>65</v>
      </c>
    </row>
    <row r="287" spans="1:6" x14ac:dyDescent="0.2">
      <c r="A287" t="s">
        <v>12</v>
      </c>
      <c r="B287" t="s">
        <v>9</v>
      </c>
      <c r="C287">
        <v>8364.49</v>
      </c>
      <c r="D287">
        <v>7109.82</v>
      </c>
      <c r="E287">
        <v>1254.67</v>
      </c>
      <c r="F287">
        <v>85</v>
      </c>
    </row>
    <row r="288" spans="1:6" x14ac:dyDescent="0.2">
      <c r="A288" t="s">
        <v>12</v>
      </c>
      <c r="B288" t="s">
        <v>8</v>
      </c>
      <c r="C288">
        <v>2491.7199999999998</v>
      </c>
      <c r="D288">
        <v>1619.62</v>
      </c>
      <c r="E288">
        <v>872.099999999999</v>
      </c>
      <c r="F288">
        <v>65</v>
      </c>
    </row>
    <row r="289" spans="1:6" x14ac:dyDescent="0.2">
      <c r="A289" t="s">
        <v>12</v>
      </c>
      <c r="B289" t="s">
        <v>10</v>
      </c>
      <c r="C289">
        <v>12053.93</v>
      </c>
      <c r="D289">
        <v>3013.48</v>
      </c>
      <c r="E289">
        <v>9040.4500000000007</v>
      </c>
      <c r="F289">
        <v>25</v>
      </c>
    </row>
    <row r="290" spans="1:6" x14ac:dyDescent="0.2">
      <c r="A290" t="s">
        <v>12</v>
      </c>
      <c r="B290" t="s">
        <v>8</v>
      </c>
      <c r="C290">
        <v>11170.76</v>
      </c>
      <c r="D290">
        <v>7260.99</v>
      </c>
      <c r="E290">
        <v>3909.77</v>
      </c>
      <c r="F290">
        <v>65</v>
      </c>
    </row>
    <row r="291" spans="1:6" x14ac:dyDescent="0.2">
      <c r="A291" t="s">
        <v>12</v>
      </c>
      <c r="B291" t="s">
        <v>9</v>
      </c>
      <c r="C291">
        <v>9745.27</v>
      </c>
      <c r="D291">
        <v>8283.48</v>
      </c>
      <c r="E291">
        <v>1461.79</v>
      </c>
      <c r="F291">
        <v>85</v>
      </c>
    </row>
    <row r="292" spans="1:6" x14ac:dyDescent="0.2">
      <c r="A292" t="s">
        <v>12</v>
      </c>
      <c r="B292" t="s">
        <v>9</v>
      </c>
      <c r="C292">
        <v>7827.99</v>
      </c>
      <c r="D292">
        <v>6653.79</v>
      </c>
      <c r="E292">
        <v>1174.19999999999</v>
      </c>
      <c r="F292">
        <v>85</v>
      </c>
    </row>
    <row r="293" spans="1:6" x14ac:dyDescent="0.2">
      <c r="A293" t="s">
        <v>12</v>
      </c>
      <c r="B293" t="s">
        <v>9</v>
      </c>
      <c r="C293">
        <v>8402.26</v>
      </c>
      <c r="D293">
        <v>7141.92</v>
      </c>
      <c r="E293">
        <v>1260.3399999999999</v>
      </c>
      <c r="F293">
        <v>85</v>
      </c>
    </row>
    <row r="294" spans="1:6" x14ac:dyDescent="0.2">
      <c r="A294" t="s">
        <v>12</v>
      </c>
      <c r="B294" t="s">
        <v>10</v>
      </c>
      <c r="C294">
        <v>16129.96</v>
      </c>
      <c r="D294">
        <v>4032.49</v>
      </c>
      <c r="E294">
        <v>12097.47</v>
      </c>
      <c r="F294">
        <v>25</v>
      </c>
    </row>
    <row r="295" spans="1:6" x14ac:dyDescent="0.2">
      <c r="A295" t="s">
        <v>12</v>
      </c>
      <c r="B295" t="s">
        <v>8</v>
      </c>
      <c r="C295">
        <v>14858.84</v>
      </c>
      <c r="D295">
        <v>9658.25</v>
      </c>
      <c r="E295">
        <v>5200.59</v>
      </c>
      <c r="F295">
        <v>65</v>
      </c>
    </row>
    <row r="296" spans="1:6" x14ac:dyDescent="0.2">
      <c r="A296" t="s">
        <v>12</v>
      </c>
      <c r="B296" t="s">
        <v>9</v>
      </c>
      <c r="C296">
        <v>8306.33</v>
      </c>
      <c r="D296">
        <v>7060.38</v>
      </c>
      <c r="E296">
        <v>1245.94999999999</v>
      </c>
      <c r="F296">
        <v>85</v>
      </c>
    </row>
    <row r="297" spans="1:6" x14ac:dyDescent="0.2">
      <c r="A297" t="s">
        <v>12</v>
      </c>
      <c r="B297" t="s">
        <v>7</v>
      </c>
      <c r="C297">
        <v>6993.86</v>
      </c>
      <c r="D297">
        <v>3846.62</v>
      </c>
      <c r="E297">
        <v>3147.24</v>
      </c>
      <c r="F297">
        <v>55</v>
      </c>
    </row>
    <row r="298" spans="1:6" x14ac:dyDescent="0.2">
      <c r="A298" t="s">
        <v>12</v>
      </c>
      <c r="B298" t="s">
        <v>7</v>
      </c>
      <c r="C298">
        <v>8624.14</v>
      </c>
      <c r="D298">
        <v>4743.28</v>
      </c>
      <c r="E298">
        <v>3880.8599999999901</v>
      </c>
      <c r="F298">
        <v>55</v>
      </c>
    </row>
    <row r="299" spans="1:6" x14ac:dyDescent="0.2">
      <c r="A299" t="s">
        <v>12</v>
      </c>
      <c r="B299" t="s">
        <v>9</v>
      </c>
      <c r="C299">
        <v>9079.85</v>
      </c>
      <c r="D299">
        <v>7717.87</v>
      </c>
      <c r="E299">
        <v>1361.98</v>
      </c>
      <c r="F299">
        <v>85</v>
      </c>
    </row>
    <row r="300" spans="1:6" x14ac:dyDescent="0.2">
      <c r="A300" t="s">
        <v>12</v>
      </c>
      <c r="B300" t="s">
        <v>8</v>
      </c>
      <c r="C300">
        <v>6582.57</v>
      </c>
      <c r="D300">
        <v>4278.67</v>
      </c>
      <c r="E300">
        <v>2303.8999999999901</v>
      </c>
      <c r="F300">
        <v>65</v>
      </c>
    </row>
    <row r="301" spans="1:6" x14ac:dyDescent="0.2">
      <c r="A301" t="s">
        <v>12</v>
      </c>
      <c r="B301" t="s">
        <v>7</v>
      </c>
      <c r="C301">
        <v>10803.23</v>
      </c>
      <c r="D301">
        <v>5941.78</v>
      </c>
      <c r="E301">
        <v>4861.45</v>
      </c>
      <c r="F301">
        <v>55</v>
      </c>
    </row>
    <row r="302" spans="1:6" x14ac:dyDescent="0.2">
      <c r="A302" t="s">
        <v>13</v>
      </c>
      <c r="B302" t="s">
        <v>7</v>
      </c>
      <c r="C302">
        <v>9554.35</v>
      </c>
      <c r="D302">
        <v>5254.89</v>
      </c>
      <c r="E302">
        <v>4299.46</v>
      </c>
      <c r="F302">
        <v>55</v>
      </c>
    </row>
    <row r="303" spans="1:6" x14ac:dyDescent="0.2">
      <c r="A303" t="s">
        <v>13</v>
      </c>
      <c r="B303" t="s">
        <v>8</v>
      </c>
      <c r="C303">
        <v>8777.6200000000008</v>
      </c>
      <c r="D303">
        <v>5705.45</v>
      </c>
      <c r="E303">
        <v>3072.17</v>
      </c>
      <c r="F303">
        <v>65</v>
      </c>
    </row>
    <row r="304" spans="1:6" x14ac:dyDescent="0.2">
      <c r="A304" t="s">
        <v>13</v>
      </c>
      <c r="B304" t="s">
        <v>8</v>
      </c>
      <c r="C304">
        <v>8194.09</v>
      </c>
      <c r="D304">
        <v>5326.16</v>
      </c>
      <c r="E304">
        <v>2867.93</v>
      </c>
      <c r="F304">
        <v>65</v>
      </c>
    </row>
    <row r="305" spans="1:6" x14ac:dyDescent="0.2">
      <c r="A305" t="s">
        <v>13</v>
      </c>
      <c r="B305" t="s">
        <v>9</v>
      </c>
      <c r="C305">
        <v>12280.75</v>
      </c>
      <c r="D305">
        <v>10438.64</v>
      </c>
      <c r="E305">
        <v>1842.11</v>
      </c>
      <c r="F305">
        <v>85</v>
      </c>
    </row>
    <row r="306" spans="1:6" x14ac:dyDescent="0.2">
      <c r="A306" t="s">
        <v>13</v>
      </c>
      <c r="B306" t="s">
        <v>9</v>
      </c>
      <c r="C306">
        <v>7829.98</v>
      </c>
      <c r="D306">
        <v>6655.48</v>
      </c>
      <c r="E306">
        <v>1174.5</v>
      </c>
      <c r="F306">
        <v>85</v>
      </c>
    </row>
    <row r="307" spans="1:6" x14ac:dyDescent="0.2">
      <c r="A307" t="s">
        <v>13</v>
      </c>
      <c r="B307" t="s">
        <v>7</v>
      </c>
      <c r="C307">
        <v>17301.54</v>
      </c>
      <c r="D307">
        <v>9515.85</v>
      </c>
      <c r="E307">
        <v>7785.69</v>
      </c>
      <c r="F307">
        <v>55</v>
      </c>
    </row>
    <row r="308" spans="1:6" x14ac:dyDescent="0.2">
      <c r="A308" t="s">
        <v>13</v>
      </c>
      <c r="B308" t="s">
        <v>8</v>
      </c>
      <c r="C308">
        <v>10509.19</v>
      </c>
      <c r="D308">
        <v>6830.97</v>
      </c>
      <c r="E308">
        <v>3678.22</v>
      </c>
      <c r="F308">
        <v>65</v>
      </c>
    </row>
    <row r="309" spans="1:6" x14ac:dyDescent="0.2">
      <c r="A309" t="s">
        <v>13</v>
      </c>
      <c r="B309" t="s">
        <v>8</v>
      </c>
      <c r="C309">
        <v>10268.18</v>
      </c>
      <c r="D309">
        <v>6674.32</v>
      </c>
      <c r="E309">
        <v>3593.86</v>
      </c>
      <c r="F309">
        <v>65</v>
      </c>
    </row>
    <row r="310" spans="1:6" x14ac:dyDescent="0.2">
      <c r="A310" t="s">
        <v>13</v>
      </c>
      <c r="B310" t="s">
        <v>8</v>
      </c>
      <c r="C310">
        <v>11464.13</v>
      </c>
      <c r="D310">
        <v>7451.68</v>
      </c>
      <c r="E310">
        <v>4012.4499999999898</v>
      </c>
      <c r="F310">
        <v>65</v>
      </c>
    </row>
    <row r="311" spans="1:6" x14ac:dyDescent="0.2">
      <c r="A311" t="s">
        <v>13</v>
      </c>
      <c r="B311" t="s">
        <v>9</v>
      </c>
      <c r="C311">
        <v>14740.4</v>
      </c>
      <c r="D311">
        <v>12529.34</v>
      </c>
      <c r="E311">
        <v>2211.0599999999899</v>
      </c>
      <c r="F311">
        <v>85</v>
      </c>
    </row>
    <row r="312" spans="1:6" x14ac:dyDescent="0.2">
      <c r="A312" t="s">
        <v>13</v>
      </c>
      <c r="B312" t="s">
        <v>8</v>
      </c>
      <c r="C312">
        <v>8216.4500000000007</v>
      </c>
      <c r="D312">
        <v>5340.69</v>
      </c>
      <c r="E312">
        <v>2875.76</v>
      </c>
      <c r="F312">
        <v>65</v>
      </c>
    </row>
    <row r="313" spans="1:6" x14ac:dyDescent="0.2">
      <c r="A313" t="s">
        <v>13</v>
      </c>
      <c r="B313" t="s">
        <v>8</v>
      </c>
      <c r="C313">
        <v>11764.99</v>
      </c>
      <c r="D313">
        <v>7647.24</v>
      </c>
      <c r="E313">
        <v>4117.75</v>
      </c>
      <c r="F313">
        <v>65</v>
      </c>
    </row>
    <row r="314" spans="1:6" x14ac:dyDescent="0.2">
      <c r="A314" t="s">
        <v>13</v>
      </c>
      <c r="B314" t="s">
        <v>8</v>
      </c>
      <c r="C314">
        <v>11630.45</v>
      </c>
      <c r="D314">
        <v>7559.79</v>
      </c>
      <c r="E314">
        <v>4070.66</v>
      </c>
      <c r="F314">
        <v>65</v>
      </c>
    </row>
    <row r="315" spans="1:6" x14ac:dyDescent="0.2">
      <c r="A315" t="s">
        <v>13</v>
      </c>
      <c r="B315" t="s">
        <v>7</v>
      </c>
      <c r="C315">
        <v>13104.76</v>
      </c>
      <c r="D315">
        <v>7207.62</v>
      </c>
      <c r="E315">
        <v>5897.14</v>
      </c>
      <c r="F315">
        <v>55</v>
      </c>
    </row>
    <row r="316" spans="1:6" x14ac:dyDescent="0.2">
      <c r="A316" t="s">
        <v>13</v>
      </c>
      <c r="B316" t="s">
        <v>7</v>
      </c>
      <c r="C316">
        <v>9189.39</v>
      </c>
      <c r="D316">
        <v>5054.16</v>
      </c>
      <c r="E316">
        <v>4135.2299999999996</v>
      </c>
      <c r="F316">
        <v>55</v>
      </c>
    </row>
    <row r="317" spans="1:6" x14ac:dyDescent="0.2">
      <c r="A317" t="s">
        <v>13</v>
      </c>
      <c r="B317" t="s">
        <v>9</v>
      </c>
      <c r="C317">
        <v>12842.85</v>
      </c>
      <c r="D317">
        <v>10916.42</v>
      </c>
      <c r="E317">
        <v>1926.43</v>
      </c>
      <c r="F317">
        <v>85</v>
      </c>
    </row>
    <row r="318" spans="1:6" x14ac:dyDescent="0.2">
      <c r="A318" t="s">
        <v>13</v>
      </c>
      <c r="B318" t="s">
        <v>7</v>
      </c>
      <c r="C318">
        <v>7970.76</v>
      </c>
      <c r="D318">
        <v>4383.92</v>
      </c>
      <c r="E318">
        <v>3586.84</v>
      </c>
      <c r="F318">
        <v>55</v>
      </c>
    </row>
    <row r="319" spans="1:6" x14ac:dyDescent="0.2">
      <c r="A319" t="s">
        <v>13</v>
      </c>
      <c r="B319" t="s">
        <v>8</v>
      </c>
      <c r="C319">
        <v>3309.01</v>
      </c>
      <c r="D319">
        <v>2150.86</v>
      </c>
      <c r="E319">
        <v>1158.1500000000001</v>
      </c>
      <c r="F319">
        <v>65</v>
      </c>
    </row>
    <row r="320" spans="1:6" x14ac:dyDescent="0.2">
      <c r="A320" t="s">
        <v>13</v>
      </c>
      <c r="B320" t="s">
        <v>9</v>
      </c>
      <c r="C320">
        <v>5259.24</v>
      </c>
      <c r="D320">
        <v>4470.3500000000004</v>
      </c>
      <c r="E320">
        <v>788.88999999999896</v>
      </c>
      <c r="F320">
        <v>85</v>
      </c>
    </row>
    <row r="321" spans="1:6" x14ac:dyDescent="0.2">
      <c r="A321" t="s">
        <v>13</v>
      </c>
      <c r="B321" t="s">
        <v>9</v>
      </c>
      <c r="C321">
        <v>10048.16</v>
      </c>
      <c r="D321">
        <v>8540.94</v>
      </c>
      <c r="E321">
        <v>1507.21999999999</v>
      </c>
      <c r="F321">
        <v>85</v>
      </c>
    </row>
    <row r="322" spans="1:6" x14ac:dyDescent="0.2">
      <c r="A322" t="s">
        <v>13</v>
      </c>
      <c r="B322" t="s">
        <v>7</v>
      </c>
      <c r="C322">
        <v>12677.23</v>
      </c>
      <c r="D322">
        <v>6972.48</v>
      </c>
      <c r="E322">
        <v>5704.75</v>
      </c>
      <c r="F322">
        <v>55</v>
      </c>
    </row>
    <row r="323" spans="1:6" x14ac:dyDescent="0.2">
      <c r="A323" t="s">
        <v>13</v>
      </c>
      <c r="B323" t="s">
        <v>9</v>
      </c>
      <c r="C323">
        <v>10286.86</v>
      </c>
      <c r="D323">
        <v>8743.83</v>
      </c>
      <c r="E323">
        <v>1543.03</v>
      </c>
      <c r="F323">
        <v>85</v>
      </c>
    </row>
    <row r="324" spans="1:6" x14ac:dyDescent="0.2">
      <c r="A324" t="s">
        <v>13</v>
      </c>
      <c r="B324" t="s">
        <v>8</v>
      </c>
      <c r="C324">
        <v>10495.58</v>
      </c>
      <c r="D324">
        <v>6822.13</v>
      </c>
      <c r="E324">
        <v>3673.45</v>
      </c>
      <c r="F324">
        <v>65</v>
      </c>
    </row>
    <row r="325" spans="1:6" x14ac:dyDescent="0.2">
      <c r="A325" t="s">
        <v>13</v>
      </c>
      <c r="B325" t="s">
        <v>8</v>
      </c>
      <c r="C325">
        <v>11706.81</v>
      </c>
      <c r="D325">
        <v>7609.43</v>
      </c>
      <c r="E325">
        <v>4097.3799999999901</v>
      </c>
      <c r="F325">
        <v>65</v>
      </c>
    </row>
    <row r="326" spans="1:6" x14ac:dyDescent="0.2">
      <c r="A326" t="s">
        <v>13</v>
      </c>
      <c r="B326" t="s">
        <v>8</v>
      </c>
      <c r="C326">
        <v>11528.13</v>
      </c>
      <c r="D326">
        <v>7493.28</v>
      </c>
      <c r="E326">
        <v>4034.8499999999899</v>
      </c>
      <c r="F326">
        <v>65</v>
      </c>
    </row>
    <row r="327" spans="1:6" x14ac:dyDescent="0.2">
      <c r="A327" t="s">
        <v>13</v>
      </c>
      <c r="B327" t="s">
        <v>7</v>
      </c>
      <c r="C327">
        <v>13741.98</v>
      </c>
      <c r="D327">
        <v>7558.09</v>
      </c>
      <c r="E327">
        <v>6183.8899999999903</v>
      </c>
      <c r="F327">
        <v>55</v>
      </c>
    </row>
    <row r="328" spans="1:6" x14ac:dyDescent="0.2">
      <c r="A328" t="s">
        <v>13</v>
      </c>
      <c r="B328" t="s">
        <v>9</v>
      </c>
      <c r="C328">
        <v>8537.81</v>
      </c>
      <c r="D328">
        <v>7257.14</v>
      </c>
      <c r="E328">
        <v>1280.6699999999901</v>
      </c>
      <c r="F328">
        <v>85</v>
      </c>
    </row>
    <row r="329" spans="1:6" x14ac:dyDescent="0.2">
      <c r="A329" t="s">
        <v>13</v>
      </c>
      <c r="B329" t="s">
        <v>8</v>
      </c>
      <c r="C329">
        <v>11211.46</v>
      </c>
      <c r="D329">
        <v>7287.45</v>
      </c>
      <c r="E329">
        <v>3924.0099999999902</v>
      </c>
      <c r="F329">
        <v>65</v>
      </c>
    </row>
    <row r="330" spans="1:6" x14ac:dyDescent="0.2">
      <c r="A330" t="s">
        <v>13</v>
      </c>
      <c r="B330" t="s">
        <v>8</v>
      </c>
      <c r="C330">
        <v>14529.31</v>
      </c>
      <c r="D330">
        <v>9444.0499999999993</v>
      </c>
      <c r="E330">
        <v>5085.26</v>
      </c>
      <c r="F330">
        <v>65</v>
      </c>
    </row>
    <row r="331" spans="1:6" x14ac:dyDescent="0.2">
      <c r="A331" t="s">
        <v>13</v>
      </c>
      <c r="B331" t="s">
        <v>9</v>
      </c>
      <c r="C331">
        <v>11206.1</v>
      </c>
      <c r="D331">
        <v>9525.18</v>
      </c>
      <c r="E331">
        <v>1680.92</v>
      </c>
      <c r="F331">
        <v>85</v>
      </c>
    </row>
    <row r="332" spans="1:6" x14ac:dyDescent="0.2">
      <c r="A332" t="s">
        <v>13</v>
      </c>
      <c r="B332" t="s">
        <v>8</v>
      </c>
      <c r="C332">
        <v>13860.92</v>
      </c>
      <c r="D332">
        <v>9009.6</v>
      </c>
      <c r="E332">
        <v>4851.32</v>
      </c>
      <c r="F332">
        <v>65</v>
      </c>
    </row>
    <row r="333" spans="1:6" x14ac:dyDescent="0.2">
      <c r="A333" t="s">
        <v>13</v>
      </c>
      <c r="B333" t="s">
        <v>8</v>
      </c>
      <c r="C333">
        <v>8666.09</v>
      </c>
      <c r="D333">
        <v>5632.96</v>
      </c>
      <c r="E333">
        <v>3033.13</v>
      </c>
      <c r="F333">
        <v>65</v>
      </c>
    </row>
    <row r="334" spans="1:6" x14ac:dyDescent="0.2">
      <c r="A334" t="s">
        <v>13</v>
      </c>
      <c r="B334" t="s">
        <v>8</v>
      </c>
      <c r="C334">
        <v>12891.55</v>
      </c>
      <c r="D334">
        <v>8379.51</v>
      </c>
      <c r="E334">
        <v>4512.03999999999</v>
      </c>
      <c r="F334">
        <v>65</v>
      </c>
    </row>
    <row r="335" spans="1:6" x14ac:dyDescent="0.2">
      <c r="A335" t="s">
        <v>13</v>
      </c>
      <c r="B335" t="s">
        <v>9</v>
      </c>
      <c r="C335">
        <v>12920.67</v>
      </c>
      <c r="D335">
        <v>10982.57</v>
      </c>
      <c r="E335">
        <v>1938.1</v>
      </c>
      <c r="F335">
        <v>85</v>
      </c>
    </row>
    <row r="336" spans="1:6" x14ac:dyDescent="0.2">
      <c r="A336" t="s">
        <v>13</v>
      </c>
      <c r="B336" t="s">
        <v>9</v>
      </c>
      <c r="C336">
        <v>5103.3500000000004</v>
      </c>
      <c r="D336">
        <v>4337.8500000000004</v>
      </c>
      <c r="E336">
        <v>765.5</v>
      </c>
      <c r="F336">
        <v>85</v>
      </c>
    </row>
    <row r="337" spans="1:6" x14ac:dyDescent="0.2">
      <c r="A337" t="s">
        <v>13</v>
      </c>
      <c r="B337" t="s">
        <v>8</v>
      </c>
      <c r="C337">
        <v>10842.89</v>
      </c>
      <c r="D337">
        <v>7047.88</v>
      </c>
      <c r="E337">
        <v>3795.0099999999902</v>
      </c>
      <c r="F337">
        <v>65</v>
      </c>
    </row>
    <row r="338" spans="1:6" x14ac:dyDescent="0.2">
      <c r="A338" t="s">
        <v>13</v>
      </c>
      <c r="B338" t="s">
        <v>8</v>
      </c>
      <c r="C338">
        <v>10511.78</v>
      </c>
      <c r="D338">
        <v>6832.66</v>
      </c>
      <c r="E338">
        <v>3679.12</v>
      </c>
      <c r="F338">
        <v>65</v>
      </c>
    </row>
    <row r="339" spans="1:6" x14ac:dyDescent="0.2">
      <c r="A339" t="s">
        <v>13</v>
      </c>
      <c r="B339" t="s">
        <v>7</v>
      </c>
      <c r="C339">
        <v>12506.7</v>
      </c>
      <c r="D339">
        <v>6878.69</v>
      </c>
      <c r="E339">
        <v>5628.01</v>
      </c>
      <c r="F339">
        <v>55</v>
      </c>
    </row>
    <row r="340" spans="1:6" x14ac:dyDescent="0.2">
      <c r="A340" t="s">
        <v>13</v>
      </c>
      <c r="B340" t="s">
        <v>7</v>
      </c>
      <c r="C340">
        <v>10541.59</v>
      </c>
      <c r="D340">
        <v>5797.87</v>
      </c>
      <c r="E340">
        <v>4743.72</v>
      </c>
      <c r="F340">
        <v>55</v>
      </c>
    </row>
    <row r="341" spans="1:6" x14ac:dyDescent="0.2">
      <c r="A341" t="s">
        <v>13</v>
      </c>
      <c r="B341" t="s">
        <v>9</v>
      </c>
      <c r="C341">
        <v>17930.71</v>
      </c>
      <c r="D341">
        <v>15241.1</v>
      </c>
      <c r="E341">
        <v>2689.6099999999901</v>
      </c>
      <c r="F341">
        <v>85</v>
      </c>
    </row>
    <row r="342" spans="1:6" x14ac:dyDescent="0.2">
      <c r="A342" t="s">
        <v>13</v>
      </c>
      <c r="B342" t="s">
        <v>8</v>
      </c>
      <c r="C342">
        <v>15346.49</v>
      </c>
      <c r="D342">
        <v>9975.2199999999993</v>
      </c>
      <c r="E342">
        <v>5371.27</v>
      </c>
      <c r="F342">
        <v>65</v>
      </c>
    </row>
    <row r="343" spans="1:6" x14ac:dyDescent="0.2">
      <c r="A343" t="s">
        <v>13</v>
      </c>
      <c r="B343" t="s">
        <v>10</v>
      </c>
      <c r="C343">
        <v>11770.82</v>
      </c>
      <c r="D343">
        <v>2942.7</v>
      </c>
      <c r="E343">
        <v>8828.1199999999899</v>
      </c>
      <c r="F343">
        <v>25</v>
      </c>
    </row>
    <row r="344" spans="1:6" x14ac:dyDescent="0.2">
      <c r="A344" t="s">
        <v>13</v>
      </c>
      <c r="B344" t="s">
        <v>9</v>
      </c>
      <c r="C344">
        <v>10750.73</v>
      </c>
      <c r="D344">
        <v>9138.1200000000008</v>
      </c>
      <c r="E344">
        <v>1612.6099999999899</v>
      </c>
      <c r="F344">
        <v>85</v>
      </c>
    </row>
    <row r="345" spans="1:6" x14ac:dyDescent="0.2">
      <c r="A345" t="s">
        <v>13</v>
      </c>
      <c r="B345" t="s">
        <v>9</v>
      </c>
      <c r="C345">
        <v>6580.74</v>
      </c>
      <c r="D345">
        <v>5593.63</v>
      </c>
      <c r="E345">
        <v>987.10999999999899</v>
      </c>
      <c r="F345">
        <v>85</v>
      </c>
    </row>
    <row r="346" spans="1:6" x14ac:dyDescent="0.2">
      <c r="A346" t="s">
        <v>13</v>
      </c>
      <c r="B346" t="s">
        <v>7</v>
      </c>
      <c r="C346">
        <v>10551.65</v>
      </c>
      <c r="D346">
        <v>5803.41</v>
      </c>
      <c r="E346">
        <v>4748.24</v>
      </c>
      <c r="F346">
        <v>55</v>
      </c>
    </row>
    <row r="347" spans="1:6" x14ac:dyDescent="0.2">
      <c r="A347" t="s">
        <v>13</v>
      </c>
      <c r="B347" t="s">
        <v>10</v>
      </c>
      <c r="C347">
        <v>10300.290000000001</v>
      </c>
      <c r="D347">
        <v>2575.0700000000002</v>
      </c>
      <c r="E347">
        <v>7725.22</v>
      </c>
      <c r="F347">
        <v>25</v>
      </c>
    </row>
    <row r="348" spans="1:6" x14ac:dyDescent="0.2">
      <c r="A348" t="s">
        <v>13</v>
      </c>
      <c r="B348" t="s">
        <v>7</v>
      </c>
      <c r="C348">
        <v>17616.07</v>
      </c>
      <c r="D348">
        <v>9688.84</v>
      </c>
      <c r="E348">
        <v>7927.23</v>
      </c>
      <c r="F348">
        <v>55</v>
      </c>
    </row>
    <row r="349" spans="1:6" x14ac:dyDescent="0.2">
      <c r="A349" t="s">
        <v>13</v>
      </c>
      <c r="B349" t="s">
        <v>7</v>
      </c>
      <c r="C349">
        <v>11571.86</v>
      </c>
      <c r="D349">
        <v>6364.52</v>
      </c>
      <c r="E349">
        <v>5207.34</v>
      </c>
      <c r="F349">
        <v>55</v>
      </c>
    </row>
    <row r="350" spans="1:6" x14ac:dyDescent="0.2">
      <c r="A350" t="s">
        <v>13</v>
      </c>
      <c r="B350" t="s">
        <v>8</v>
      </c>
      <c r="C350">
        <v>13212.99</v>
      </c>
      <c r="D350">
        <v>8588.44</v>
      </c>
      <c r="E350">
        <v>4624.5499999999902</v>
      </c>
      <c r="F350">
        <v>65</v>
      </c>
    </row>
    <row r="351" spans="1:6" x14ac:dyDescent="0.2">
      <c r="A351" t="s">
        <v>13</v>
      </c>
      <c r="B351" t="s">
        <v>8</v>
      </c>
      <c r="C351">
        <v>8251.6</v>
      </c>
      <c r="D351">
        <v>5363.54</v>
      </c>
      <c r="E351">
        <v>2888.06</v>
      </c>
      <c r="F351">
        <v>65</v>
      </c>
    </row>
    <row r="352" spans="1:6" x14ac:dyDescent="0.2">
      <c r="A352" t="s">
        <v>13</v>
      </c>
      <c r="B352" t="s">
        <v>8</v>
      </c>
      <c r="C352">
        <v>12556.74</v>
      </c>
      <c r="D352">
        <v>8161.88</v>
      </c>
      <c r="E352">
        <v>4394.8599999999997</v>
      </c>
      <c r="F352">
        <v>65</v>
      </c>
    </row>
    <row r="353" spans="1:6" x14ac:dyDescent="0.2">
      <c r="A353" t="s">
        <v>13</v>
      </c>
      <c r="B353" t="s">
        <v>10</v>
      </c>
      <c r="C353">
        <v>3037.79</v>
      </c>
      <c r="D353">
        <v>759.45</v>
      </c>
      <c r="E353">
        <v>2278.34</v>
      </c>
      <c r="F353">
        <v>25</v>
      </c>
    </row>
    <row r="354" spans="1:6" x14ac:dyDescent="0.2">
      <c r="A354" t="s">
        <v>13</v>
      </c>
      <c r="B354" t="s">
        <v>8</v>
      </c>
      <c r="C354">
        <v>13810.38</v>
      </c>
      <c r="D354">
        <v>8976.75</v>
      </c>
      <c r="E354">
        <v>4833.6299999999901</v>
      </c>
      <c r="F354">
        <v>65</v>
      </c>
    </row>
    <row r="355" spans="1:6" x14ac:dyDescent="0.2">
      <c r="A355" t="s">
        <v>13</v>
      </c>
      <c r="B355" t="s">
        <v>7</v>
      </c>
      <c r="C355">
        <v>7544.58</v>
      </c>
      <c r="D355">
        <v>4149.5200000000004</v>
      </c>
      <c r="E355">
        <v>3395.0599999999899</v>
      </c>
      <c r="F355">
        <v>55</v>
      </c>
    </row>
    <row r="356" spans="1:6" x14ac:dyDescent="0.2">
      <c r="A356" t="s">
        <v>13</v>
      </c>
      <c r="B356" t="s">
        <v>8</v>
      </c>
      <c r="C356">
        <v>6623.74</v>
      </c>
      <c r="D356">
        <v>4305.43</v>
      </c>
      <c r="E356">
        <v>2318.3099999999899</v>
      </c>
      <c r="F356">
        <v>65</v>
      </c>
    </row>
    <row r="357" spans="1:6" x14ac:dyDescent="0.2">
      <c r="A357" t="s">
        <v>13</v>
      </c>
      <c r="B357" t="s">
        <v>8</v>
      </c>
      <c r="C357">
        <v>9552.89</v>
      </c>
      <c r="D357">
        <v>6209.38</v>
      </c>
      <c r="E357">
        <v>3343.5099999999902</v>
      </c>
      <c r="F357">
        <v>65</v>
      </c>
    </row>
    <row r="358" spans="1:6" x14ac:dyDescent="0.2">
      <c r="A358" t="s">
        <v>13</v>
      </c>
      <c r="B358" t="s">
        <v>7</v>
      </c>
      <c r="C358">
        <v>12413.32</v>
      </c>
      <c r="D358">
        <v>6827.33</v>
      </c>
      <c r="E358">
        <v>5585.99</v>
      </c>
      <c r="F358">
        <v>55</v>
      </c>
    </row>
    <row r="359" spans="1:6" x14ac:dyDescent="0.2">
      <c r="A359" t="s">
        <v>13</v>
      </c>
      <c r="B359" t="s">
        <v>7</v>
      </c>
      <c r="C359">
        <v>9528.36</v>
      </c>
      <c r="D359">
        <v>5240.6000000000004</v>
      </c>
      <c r="E359">
        <v>4287.76</v>
      </c>
      <c r="F359">
        <v>55</v>
      </c>
    </row>
    <row r="360" spans="1:6" x14ac:dyDescent="0.2">
      <c r="A360" t="s">
        <v>13</v>
      </c>
      <c r="B360" t="s">
        <v>9</v>
      </c>
      <c r="C360">
        <v>6948.42</v>
      </c>
      <c r="D360">
        <v>5906.16</v>
      </c>
      <c r="E360">
        <v>1042.26</v>
      </c>
      <c r="F360">
        <v>85</v>
      </c>
    </row>
    <row r="361" spans="1:6" x14ac:dyDescent="0.2">
      <c r="A361" t="s">
        <v>13</v>
      </c>
      <c r="B361" t="s">
        <v>10</v>
      </c>
      <c r="C361">
        <v>11550.01</v>
      </c>
      <c r="D361">
        <v>2887.5</v>
      </c>
      <c r="E361">
        <v>8662.51</v>
      </c>
      <c r="F361">
        <v>25</v>
      </c>
    </row>
    <row r="362" spans="1:6" x14ac:dyDescent="0.2">
      <c r="A362" t="s">
        <v>13</v>
      </c>
      <c r="B362" t="s">
        <v>8</v>
      </c>
      <c r="C362">
        <v>7602.67</v>
      </c>
      <c r="D362">
        <v>4941.74</v>
      </c>
      <c r="E362">
        <v>2660.93</v>
      </c>
      <c r="F362">
        <v>65</v>
      </c>
    </row>
    <row r="363" spans="1:6" x14ac:dyDescent="0.2">
      <c r="A363" t="s">
        <v>13</v>
      </c>
      <c r="B363" t="s">
        <v>10</v>
      </c>
      <c r="C363">
        <v>9506.39</v>
      </c>
      <c r="D363">
        <v>2376.6</v>
      </c>
      <c r="E363">
        <v>7129.78999999999</v>
      </c>
      <c r="F363">
        <v>25</v>
      </c>
    </row>
    <row r="364" spans="1:6" x14ac:dyDescent="0.2">
      <c r="A364" t="s">
        <v>13</v>
      </c>
      <c r="B364" t="s">
        <v>7</v>
      </c>
      <c r="C364">
        <v>7967.3</v>
      </c>
      <c r="D364">
        <v>4382.0200000000004</v>
      </c>
      <c r="E364">
        <v>3585.2799999999902</v>
      </c>
      <c r="F364">
        <v>55</v>
      </c>
    </row>
    <row r="365" spans="1:6" x14ac:dyDescent="0.2">
      <c r="A365" t="s">
        <v>13</v>
      </c>
      <c r="B365" t="s">
        <v>9</v>
      </c>
      <c r="C365">
        <v>10447.86</v>
      </c>
      <c r="D365">
        <v>8880.68</v>
      </c>
      <c r="E365">
        <v>1567.18</v>
      </c>
      <c r="F365">
        <v>85</v>
      </c>
    </row>
    <row r="366" spans="1:6" x14ac:dyDescent="0.2">
      <c r="A366" t="s">
        <v>13</v>
      </c>
      <c r="B366" t="s">
        <v>8</v>
      </c>
      <c r="C366">
        <v>9655.4699999999993</v>
      </c>
      <c r="D366">
        <v>6276.06</v>
      </c>
      <c r="E366">
        <v>3379.4099999999899</v>
      </c>
      <c r="F366">
        <v>65</v>
      </c>
    </row>
    <row r="367" spans="1:6" x14ac:dyDescent="0.2">
      <c r="A367" t="s">
        <v>13</v>
      </c>
      <c r="B367" t="s">
        <v>8</v>
      </c>
      <c r="C367">
        <v>10465.11</v>
      </c>
      <c r="D367">
        <v>6802.32</v>
      </c>
      <c r="E367">
        <v>3662.79</v>
      </c>
      <c r="F367">
        <v>65</v>
      </c>
    </row>
    <row r="368" spans="1:6" x14ac:dyDescent="0.2">
      <c r="A368" t="s">
        <v>13</v>
      </c>
      <c r="B368" t="s">
        <v>8</v>
      </c>
      <c r="C368">
        <v>17709.78</v>
      </c>
      <c r="D368">
        <v>11511.36</v>
      </c>
      <c r="E368">
        <v>6198.4199999999901</v>
      </c>
      <c r="F368">
        <v>65</v>
      </c>
    </row>
    <row r="369" spans="1:6" x14ac:dyDescent="0.2">
      <c r="A369" t="s">
        <v>13</v>
      </c>
      <c r="B369" t="s">
        <v>8</v>
      </c>
      <c r="C369">
        <v>6678.69</v>
      </c>
      <c r="D369">
        <v>4341.1499999999996</v>
      </c>
      <c r="E369">
        <v>2337.54</v>
      </c>
      <c r="F369">
        <v>65</v>
      </c>
    </row>
    <row r="370" spans="1:6" x14ac:dyDescent="0.2">
      <c r="A370" t="s">
        <v>13</v>
      </c>
      <c r="B370" t="s">
        <v>9</v>
      </c>
      <c r="C370">
        <v>14165.75</v>
      </c>
      <c r="D370">
        <v>12040.89</v>
      </c>
      <c r="E370">
        <v>2124.86</v>
      </c>
      <c r="F370">
        <v>85</v>
      </c>
    </row>
    <row r="371" spans="1:6" x14ac:dyDescent="0.2">
      <c r="A371" t="s">
        <v>13</v>
      </c>
      <c r="B371" t="s">
        <v>7</v>
      </c>
      <c r="C371">
        <v>2021.95</v>
      </c>
      <c r="D371">
        <v>1112.07</v>
      </c>
      <c r="E371">
        <v>909.88</v>
      </c>
      <c r="F371">
        <v>55</v>
      </c>
    </row>
    <row r="372" spans="1:6" x14ac:dyDescent="0.2">
      <c r="A372" t="s">
        <v>13</v>
      </c>
      <c r="B372" t="s">
        <v>7</v>
      </c>
      <c r="C372">
        <v>6467.41</v>
      </c>
      <c r="D372">
        <v>3557.08</v>
      </c>
      <c r="E372">
        <v>2910.33</v>
      </c>
      <c r="F372">
        <v>55</v>
      </c>
    </row>
    <row r="373" spans="1:6" x14ac:dyDescent="0.2">
      <c r="A373" t="s">
        <v>13</v>
      </c>
      <c r="B373" t="s">
        <v>8</v>
      </c>
      <c r="C373">
        <v>10611.11</v>
      </c>
      <c r="D373">
        <v>6897.22</v>
      </c>
      <c r="E373">
        <v>3713.89</v>
      </c>
      <c r="F373">
        <v>65</v>
      </c>
    </row>
    <row r="374" spans="1:6" x14ac:dyDescent="0.2">
      <c r="A374" t="s">
        <v>13</v>
      </c>
      <c r="B374" t="s">
        <v>9</v>
      </c>
      <c r="C374">
        <v>9550.3700000000008</v>
      </c>
      <c r="D374">
        <v>8117.81</v>
      </c>
      <c r="E374">
        <v>1432.56</v>
      </c>
      <c r="F374">
        <v>85</v>
      </c>
    </row>
    <row r="375" spans="1:6" x14ac:dyDescent="0.2">
      <c r="A375" t="s">
        <v>13</v>
      </c>
      <c r="B375" t="s">
        <v>8</v>
      </c>
      <c r="C375">
        <v>11583.29</v>
      </c>
      <c r="D375">
        <v>7529.14</v>
      </c>
      <c r="E375">
        <v>4054.15</v>
      </c>
      <c r="F375">
        <v>65</v>
      </c>
    </row>
    <row r="376" spans="1:6" x14ac:dyDescent="0.2">
      <c r="A376" t="s">
        <v>13</v>
      </c>
      <c r="B376" t="s">
        <v>9</v>
      </c>
      <c r="C376">
        <v>8914.33</v>
      </c>
      <c r="D376">
        <v>7577.18</v>
      </c>
      <c r="E376">
        <v>1337.1499999999901</v>
      </c>
      <c r="F376">
        <v>85</v>
      </c>
    </row>
    <row r="377" spans="1:6" x14ac:dyDescent="0.2">
      <c r="A377" t="s">
        <v>13</v>
      </c>
      <c r="B377" t="s">
        <v>8</v>
      </c>
      <c r="C377">
        <v>9791.23</v>
      </c>
      <c r="D377">
        <v>6364.3</v>
      </c>
      <c r="E377">
        <v>3426.9299999999898</v>
      </c>
      <c r="F377">
        <v>65</v>
      </c>
    </row>
    <row r="378" spans="1:6" x14ac:dyDescent="0.2">
      <c r="A378" t="s">
        <v>13</v>
      </c>
      <c r="B378" t="s">
        <v>9</v>
      </c>
      <c r="C378">
        <v>9732.34</v>
      </c>
      <c r="D378">
        <v>8272.49</v>
      </c>
      <c r="E378">
        <v>1459.85</v>
      </c>
      <c r="F378">
        <v>85</v>
      </c>
    </row>
    <row r="379" spans="1:6" x14ac:dyDescent="0.2">
      <c r="A379" t="s">
        <v>13</v>
      </c>
      <c r="B379" t="s">
        <v>8</v>
      </c>
      <c r="C379">
        <v>10089.950000000001</v>
      </c>
      <c r="D379">
        <v>6558.47</v>
      </c>
      <c r="E379">
        <v>3531.48</v>
      </c>
      <c r="F379">
        <v>65</v>
      </c>
    </row>
    <row r="380" spans="1:6" x14ac:dyDescent="0.2">
      <c r="A380" t="s">
        <v>13</v>
      </c>
      <c r="B380" t="s">
        <v>8</v>
      </c>
      <c r="C380">
        <v>10296.24</v>
      </c>
      <c r="D380">
        <v>6692.56</v>
      </c>
      <c r="E380">
        <v>3603.6799999999898</v>
      </c>
      <c r="F380">
        <v>65</v>
      </c>
    </row>
    <row r="381" spans="1:6" x14ac:dyDescent="0.2">
      <c r="A381" t="s">
        <v>13</v>
      </c>
      <c r="B381" t="s">
        <v>8</v>
      </c>
      <c r="C381">
        <v>9608.9599999999991</v>
      </c>
      <c r="D381">
        <v>6245.82</v>
      </c>
      <c r="E381">
        <v>3363.1399999999899</v>
      </c>
      <c r="F381">
        <v>65</v>
      </c>
    </row>
    <row r="382" spans="1:6" x14ac:dyDescent="0.2">
      <c r="A382" t="s">
        <v>13</v>
      </c>
      <c r="B382" t="s">
        <v>9</v>
      </c>
      <c r="C382">
        <v>8947.9599999999991</v>
      </c>
      <c r="D382">
        <v>7605.77</v>
      </c>
      <c r="E382">
        <v>1342.1899999999901</v>
      </c>
      <c r="F382">
        <v>85</v>
      </c>
    </row>
    <row r="383" spans="1:6" x14ac:dyDescent="0.2">
      <c r="A383" t="s">
        <v>13</v>
      </c>
      <c r="B383" t="s">
        <v>8</v>
      </c>
      <c r="C383">
        <v>9312.35</v>
      </c>
      <c r="D383">
        <v>6053.03</v>
      </c>
      <c r="E383">
        <v>3259.32</v>
      </c>
      <c r="F383">
        <v>65</v>
      </c>
    </row>
    <row r="384" spans="1:6" x14ac:dyDescent="0.2">
      <c r="A384" t="s">
        <v>13</v>
      </c>
      <c r="B384" t="s">
        <v>9</v>
      </c>
      <c r="C384">
        <v>10703.96</v>
      </c>
      <c r="D384">
        <v>9098.3700000000008</v>
      </c>
      <c r="E384">
        <v>1605.5899999999899</v>
      </c>
      <c r="F384">
        <v>85</v>
      </c>
    </row>
    <row r="385" spans="1:6" x14ac:dyDescent="0.2">
      <c r="A385" t="s">
        <v>13</v>
      </c>
      <c r="B385" t="s">
        <v>7</v>
      </c>
      <c r="C385">
        <v>10758.27</v>
      </c>
      <c r="D385">
        <v>5917.05</v>
      </c>
      <c r="E385">
        <v>4841.22</v>
      </c>
      <c r="F385">
        <v>55</v>
      </c>
    </row>
    <row r="386" spans="1:6" x14ac:dyDescent="0.2">
      <c r="A386" t="s">
        <v>13</v>
      </c>
      <c r="B386" t="s">
        <v>9</v>
      </c>
      <c r="C386">
        <v>8028.3</v>
      </c>
      <c r="D386">
        <v>6824.06</v>
      </c>
      <c r="E386">
        <v>1204.23999999999</v>
      </c>
      <c r="F386">
        <v>85</v>
      </c>
    </row>
    <row r="387" spans="1:6" x14ac:dyDescent="0.2">
      <c r="A387" t="s">
        <v>13</v>
      </c>
      <c r="B387" t="s">
        <v>9</v>
      </c>
      <c r="C387">
        <v>7187.93</v>
      </c>
      <c r="D387">
        <v>6109.74</v>
      </c>
      <c r="E387">
        <v>1078.19</v>
      </c>
      <c r="F387">
        <v>85</v>
      </c>
    </row>
    <row r="388" spans="1:6" x14ac:dyDescent="0.2">
      <c r="A388" t="s">
        <v>13</v>
      </c>
      <c r="B388" t="s">
        <v>8</v>
      </c>
      <c r="C388">
        <v>4990.66</v>
      </c>
      <c r="D388">
        <v>3243.93</v>
      </c>
      <c r="E388">
        <v>1746.73</v>
      </c>
      <c r="F388">
        <v>65</v>
      </c>
    </row>
    <row r="389" spans="1:6" x14ac:dyDescent="0.2">
      <c r="A389" t="s">
        <v>13</v>
      </c>
      <c r="B389" t="s">
        <v>9</v>
      </c>
      <c r="C389">
        <v>15294.06</v>
      </c>
      <c r="D389">
        <v>12999.95</v>
      </c>
      <c r="E389">
        <v>2294.1099999999901</v>
      </c>
      <c r="F389">
        <v>85</v>
      </c>
    </row>
    <row r="390" spans="1:6" x14ac:dyDescent="0.2">
      <c r="A390" t="s">
        <v>13</v>
      </c>
      <c r="B390" t="s">
        <v>9</v>
      </c>
      <c r="C390">
        <v>6275.5</v>
      </c>
      <c r="D390">
        <v>5334.18</v>
      </c>
      <c r="E390">
        <v>941.31999999999903</v>
      </c>
      <c r="F390">
        <v>85</v>
      </c>
    </row>
    <row r="391" spans="1:6" x14ac:dyDescent="0.2">
      <c r="A391" t="s">
        <v>13</v>
      </c>
      <c r="B391" t="s">
        <v>7</v>
      </c>
      <c r="C391">
        <v>7551.08</v>
      </c>
      <c r="D391">
        <v>4153.09</v>
      </c>
      <c r="E391">
        <v>3397.99</v>
      </c>
      <c r="F391">
        <v>55</v>
      </c>
    </row>
    <row r="392" spans="1:6" x14ac:dyDescent="0.2">
      <c r="A392" t="s">
        <v>13</v>
      </c>
      <c r="B392" t="s">
        <v>9</v>
      </c>
      <c r="C392">
        <v>12269.05</v>
      </c>
      <c r="D392">
        <v>10428.69</v>
      </c>
      <c r="E392">
        <v>1840.3599999999899</v>
      </c>
      <c r="F392">
        <v>85</v>
      </c>
    </row>
    <row r="393" spans="1:6" x14ac:dyDescent="0.2">
      <c r="A393" t="s">
        <v>13</v>
      </c>
      <c r="B393" t="s">
        <v>7</v>
      </c>
      <c r="C393">
        <v>5760.93</v>
      </c>
      <c r="D393">
        <v>3168.51</v>
      </c>
      <c r="E393">
        <v>2592.42</v>
      </c>
      <c r="F393">
        <v>55</v>
      </c>
    </row>
    <row r="394" spans="1:6" x14ac:dyDescent="0.2">
      <c r="A394" t="s">
        <v>13</v>
      </c>
      <c r="B394" t="s">
        <v>9</v>
      </c>
      <c r="C394">
        <v>4739.59</v>
      </c>
      <c r="D394">
        <v>4028.65</v>
      </c>
      <c r="E394">
        <v>710.94</v>
      </c>
      <c r="F394">
        <v>85</v>
      </c>
    </row>
    <row r="395" spans="1:6" x14ac:dyDescent="0.2">
      <c r="A395" t="s">
        <v>13</v>
      </c>
      <c r="B395" t="s">
        <v>10</v>
      </c>
      <c r="C395">
        <v>8365.23</v>
      </c>
      <c r="D395">
        <v>2091.31</v>
      </c>
      <c r="E395">
        <v>6273.92</v>
      </c>
      <c r="F395">
        <v>25</v>
      </c>
    </row>
    <row r="396" spans="1:6" x14ac:dyDescent="0.2">
      <c r="A396" t="s">
        <v>13</v>
      </c>
      <c r="B396" t="s">
        <v>9</v>
      </c>
      <c r="C396">
        <v>12915.47</v>
      </c>
      <c r="D396">
        <v>10978.15</v>
      </c>
      <c r="E396">
        <v>1937.3199999999899</v>
      </c>
      <c r="F396">
        <v>85</v>
      </c>
    </row>
    <row r="397" spans="1:6" x14ac:dyDescent="0.2">
      <c r="A397" t="s">
        <v>13</v>
      </c>
      <c r="B397" t="s">
        <v>9</v>
      </c>
      <c r="C397">
        <v>9907.1299999999992</v>
      </c>
      <c r="D397">
        <v>8421.06</v>
      </c>
      <c r="E397">
        <v>1486.0699999999899</v>
      </c>
      <c r="F397">
        <v>85</v>
      </c>
    </row>
    <row r="398" spans="1:6" x14ac:dyDescent="0.2">
      <c r="A398" t="s">
        <v>13</v>
      </c>
      <c r="B398" t="s">
        <v>7</v>
      </c>
      <c r="C398">
        <v>16465.72</v>
      </c>
      <c r="D398">
        <v>9056.15</v>
      </c>
      <c r="E398">
        <v>7409.57</v>
      </c>
      <c r="F398">
        <v>55</v>
      </c>
    </row>
    <row r="399" spans="1:6" x14ac:dyDescent="0.2">
      <c r="A399" t="s">
        <v>13</v>
      </c>
      <c r="B399" t="s">
        <v>8</v>
      </c>
      <c r="C399">
        <v>12016.77</v>
      </c>
      <c r="D399">
        <v>7810.9</v>
      </c>
      <c r="E399">
        <v>4205.87</v>
      </c>
      <c r="F399">
        <v>65</v>
      </c>
    </row>
    <row r="400" spans="1:6" x14ac:dyDescent="0.2">
      <c r="A400" t="s">
        <v>13</v>
      </c>
      <c r="B400" t="s">
        <v>8</v>
      </c>
      <c r="C400">
        <v>6134.66</v>
      </c>
      <c r="D400">
        <v>3987.53</v>
      </c>
      <c r="E400">
        <v>2147.1299999999901</v>
      </c>
      <c r="F400">
        <v>65</v>
      </c>
    </row>
    <row r="401" spans="1:6" x14ac:dyDescent="0.2">
      <c r="A401" t="s">
        <v>13</v>
      </c>
      <c r="B401" t="s">
        <v>8</v>
      </c>
      <c r="C401">
        <v>10302.450000000001</v>
      </c>
      <c r="D401">
        <v>6696.59</v>
      </c>
      <c r="E401">
        <v>3605.86</v>
      </c>
      <c r="F401">
        <v>65</v>
      </c>
    </row>
    <row r="402" spans="1:6" x14ac:dyDescent="0.2">
      <c r="A402" t="s">
        <v>14</v>
      </c>
      <c r="B402" t="s">
        <v>8</v>
      </c>
      <c r="C402">
        <v>5111.22</v>
      </c>
      <c r="D402">
        <v>3322.29</v>
      </c>
      <c r="E402">
        <v>1788.93</v>
      </c>
      <c r="F402">
        <v>65</v>
      </c>
    </row>
    <row r="403" spans="1:6" x14ac:dyDescent="0.2">
      <c r="A403" t="s">
        <v>14</v>
      </c>
      <c r="B403" t="s">
        <v>9</v>
      </c>
      <c r="C403">
        <v>11655.59</v>
      </c>
      <c r="D403">
        <v>9907.25</v>
      </c>
      <c r="E403">
        <v>1748.34</v>
      </c>
      <c r="F403">
        <v>85</v>
      </c>
    </row>
    <row r="404" spans="1:6" x14ac:dyDescent="0.2">
      <c r="A404" t="s">
        <v>14</v>
      </c>
      <c r="B404" t="s">
        <v>9</v>
      </c>
      <c r="C404">
        <v>8592.56</v>
      </c>
      <c r="D404">
        <v>7303.68</v>
      </c>
      <c r="E404">
        <v>1288.8799999999901</v>
      </c>
      <c r="F404">
        <v>85</v>
      </c>
    </row>
    <row r="405" spans="1:6" x14ac:dyDescent="0.2">
      <c r="A405" t="s">
        <v>14</v>
      </c>
      <c r="B405" t="s">
        <v>8</v>
      </c>
      <c r="C405">
        <v>11580.81</v>
      </c>
      <c r="D405">
        <v>7527.53</v>
      </c>
      <c r="E405">
        <v>4053.2799999999902</v>
      </c>
      <c r="F405">
        <v>65</v>
      </c>
    </row>
    <row r="406" spans="1:6" x14ac:dyDescent="0.2">
      <c r="A406" t="s">
        <v>14</v>
      </c>
      <c r="B406" t="s">
        <v>8</v>
      </c>
      <c r="C406">
        <v>14861.6</v>
      </c>
      <c r="D406">
        <v>9660.0400000000009</v>
      </c>
      <c r="E406">
        <v>5201.5599999999904</v>
      </c>
      <c r="F406">
        <v>65</v>
      </c>
    </row>
    <row r="407" spans="1:6" x14ac:dyDescent="0.2">
      <c r="A407" t="s">
        <v>14</v>
      </c>
      <c r="B407" t="s">
        <v>9</v>
      </c>
      <c r="C407">
        <v>14711.48</v>
      </c>
      <c r="D407">
        <v>12504.76</v>
      </c>
      <c r="E407">
        <v>2206.7199999999898</v>
      </c>
      <c r="F407">
        <v>85</v>
      </c>
    </row>
    <row r="408" spans="1:6" x14ac:dyDescent="0.2">
      <c r="A408" t="s">
        <v>14</v>
      </c>
      <c r="B408" t="s">
        <v>8</v>
      </c>
      <c r="C408">
        <v>9525.7000000000007</v>
      </c>
      <c r="D408">
        <v>6191.71</v>
      </c>
      <c r="E408">
        <v>3333.99</v>
      </c>
      <c r="F408">
        <v>65</v>
      </c>
    </row>
    <row r="409" spans="1:6" x14ac:dyDescent="0.2">
      <c r="A409" t="s">
        <v>14</v>
      </c>
      <c r="B409" t="s">
        <v>7</v>
      </c>
      <c r="C409">
        <v>12419.78</v>
      </c>
      <c r="D409">
        <v>6830.88</v>
      </c>
      <c r="E409">
        <v>5588.9</v>
      </c>
      <c r="F409">
        <v>55</v>
      </c>
    </row>
    <row r="410" spans="1:6" x14ac:dyDescent="0.2">
      <c r="A410" t="s">
        <v>14</v>
      </c>
      <c r="B410" t="s">
        <v>7</v>
      </c>
      <c r="C410">
        <v>8955.9599999999991</v>
      </c>
      <c r="D410">
        <v>4925.78</v>
      </c>
      <c r="E410">
        <v>4030.1799999999898</v>
      </c>
      <c r="F410">
        <v>55</v>
      </c>
    </row>
    <row r="411" spans="1:6" x14ac:dyDescent="0.2">
      <c r="A411" t="s">
        <v>14</v>
      </c>
      <c r="B411" t="s">
        <v>9</v>
      </c>
      <c r="C411">
        <v>10595.68</v>
      </c>
      <c r="D411">
        <v>9006.33</v>
      </c>
      <c r="E411">
        <v>1589.35</v>
      </c>
      <c r="F411">
        <v>85</v>
      </c>
    </row>
    <row r="412" spans="1:6" x14ac:dyDescent="0.2">
      <c r="A412" t="s">
        <v>14</v>
      </c>
      <c r="B412" t="s">
        <v>8</v>
      </c>
      <c r="C412">
        <v>5427.95</v>
      </c>
      <c r="D412">
        <v>3528.17</v>
      </c>
      <c r="E412">
        <v>1899.77999999999</v>
      </c>
      <c r="F412">
        <v>65</v>
      </c>
    </row>
    <row r="413" spans="1:6" x14ac:dyDescent="0.2">
      <c r="A413" t="s">
        <v>14</v>
      </c>
      <c r="B413" t="s">
        <v>7</v>
      </c>
      <c r="C413">
        <v>7604.68</v>
      </c>
      <c r="D413">
        <v>4182.57</v>
      </c>
      <c r="E413">
        <v>3422.11</v>
      </c>
      <c r="F413">
        <v>55</v>
      </c>
    </row>
    <row r="414" spans="1:6" x14ac:dyDescent="0.2">
      <c r="A414" t="s">
        <v>14</v>
      </c>
      <c r="B414" t="s">
        <v>9</v>
      </c>
      <c r="C414">
        <v>11721.9</v>
      </c>
      <c r="D414">
        <v>9963.61</v>
      </c>
      <c r="E414">
        <v>1758.28999999999</v>
      </c>
      <c r="F414">
        <v>85</v>
      </c>
    </row>
    <row r="415" spans="1:6" x14ac:dyDescent="0.2">
      <c r="A415" t="s">
        <v>14</v>
      </c>
      <c r="B415" t="s">
        <v>7</v>
      </c>
      <c r="C415">
        <v>4739.28</v>
      </c>
      <c r="D415">
        <v>2606.6</v>
      </c>
      <c r="E415">
        <v>2132.6799999999998</v>
      </c>
      <c r="F415">
        <v>55</v>
      </c>
    </row>
    <row r="416" spans="1:6" x14ac:dyDescent="0.2">
      <c r="A416" t="s">
        <v>14</v>
      </c>
      <c r="B416" t="s">
        <v>9</v>
      </c>
      <c r="C416">
        <v>10285.959999999999</v>
      </c>
      <c r="D416">
        <v>8743.07</v>
      </c>
      <c r="E416">
        <v>1542.8899999999901</v>
      </c>
      <c r="F416">
        <v>85</v>
      </c>
    </row>
    <row r="417" spans="1:6" x14ac:dyDescent="0.2">
      <c r="A417" t="s">
        <v>14</v>
      </c>
      <c r="B417" t="s">
        <v>8</v>
      </c>
      <c r="C417">
        <v>10537.11</v>
      </c>
      <c r="D417">
        <v>6849.12</v>
      </c>
      <c r="E417">
        <v>3687.99</v>
      </c>
      <c r="F417">
        <v>65</v>
      </c>
    </row>
    <row r="418" spans="1:6" x14ac:dyDescent="0.2">
      <c r="A418" t="s">
        <v>14</v>
      </c>
      <c r="B418" t="s">
        <v>8</v>
      </c>
      <c r="C418">
        <v>11822.7</v>
      </c>
      <c r="D418">
        <v>7684.76</v>
      </c>
      <c r="E418">
        <v>4137.9399999999996</v>
      </c>
      <c r="F418">
        <v>65</v>
      </c>
    </row>
    <row r="419" spans="1:6" x14ac:dyDescent="0.2">
      <c r="A419" t="s">
        <v>14</v>
      </c>
      <c r="B419" t="s">
        <v>8</v>
      </c>
      <c r="C419">
        <v>5442.46</v>
      </c>
      <c r="D419">
        <v>3537.6</v>
      </c>
      <c r="E419">
        <v>1904.86</v>
      </c>
      <c r="F419">
        <v>65</v>
      </c>
    </row>
    <row r="420" spans="1:6" x14ac:dyDescent="0.2">
      <c r="A420" t="s">
        <v>14</v>
      </c>
      <c r="B420" t="s">
        <v>7</v>
      </c>
      <c r="C420">
        <v>4931.33</v>
      </c>
      <c r="D420">
        <v>2712.23</v>
      </c>
      <c r="E420">
        <v>2219.1</v>
      </c>
      <c r="F420">
        <v>55</v>
      </c>
    </row>
    <row r="421" spans="1:6" x14ac:dyDescent="0.2">
      <c r="A421" t="s">
        <v>14</v>
      </c>
      <c r="B421" t="s">
        <v>9</v>
      </c>
      <c r="C421">
        <v>12961.37</v>
      </c>
      <c r="D421">
        <v>11017.16</v>
      </c>
      <c r="E421">
        <v>1944.21</v>
      </c>
      <c r="F421">
        <v>85</v>
      </c>
    </row>
    <row r="422" spans="1:6" x14ac:dyDescent="0.2">
      <c r="A422" t="s">
        <v>14</v>
      </c>
      <c r="B422" t="s">
        <v>8</v>
      </c>
      <c r="C422">
        <v>10539.54</v>
      </c>
      <c r="D422">
        <v>6850.7</v>
      </c>
      <c r="E422">
        <v>3688.84</v>
      </c>
      <c r="F422">
        <v>65</v>
      </c>
    </row>
    <row r="423" spans="1:6" x14ac:dyDescent="0.2">
      <c r="A423" t="s">
        <v>14</v>
      </c>
      <c r="B423" t="s">
        <v>7</v>
      </c>
      <c r="C423">
        <v>8995.44</v>
      </c>
      <c r="D423">
        <v>4947.49</v>
      </c>
      <c r="E423">
        <v>4047.95</v>
      </c>
      <c r="F423">
        <v>55</v>
      </c>
    </row>
    <row r="424" spans="1:6" x14ac:dyDescent="0.2">
      <c r="A424" t="s">
        <v>14</v>
      </c>
      <c r="B424" t="s">
        <v>9</v>
      </c>
      <c r="C424">
        <v>5326.14</v>
      </c>
      <c r="D424">
        <v>4527.22</v>
      </c>
      <c r="E424">
        <v>798.92</v>
      </c>
      <c r="F424">
        <v>85</v>
      </c>
    </row>
    <row r="425" spans="1:6" x14ac:dyDescent="0.2">
      <c r="A425" t="s">
        <v>14</v>
      </c>
      <c r="B425" t="s">
        <v>9</v>
      </c>
      <c r="C425">
        <v>8798.86</v>
      </c>
      <c r="D425">
        <v>7479.03</v>
      </c>
      <c r="E425">
        <v>1319.83</v>
      </c>
      <c r="F425">
        <v>85</v>
      </c>
    </row>
    <row r="426" spans="1:6" x14ac:dyDescent="0.2">
      <c r="A426" t="s">
        <v>14</v>
      </c>
      <c r="B426" t="s">
        <v>9</v>
      </c>
      <c r="C426">
        <v>6736.66</v>
      </c>
      <c r="D426">
        <v>5726.16</v>
      </c>
      <c r="E426">
        <v>1010.5</v>
      </c>
      <c r="F426">
        <v>85</v>
      </c>
    </row>
    <row r="427" spans="1:6" x14ac:dyDescent="0.2">
      <c r="A427" t="s">
        <v>14</v>
      </c>
      <c r="B427" t="s">
        <v>9</v>
      </c>
      <c r="C427">
        <v>12788.45</v>
      </c>
      <c r="D427">
        <v>10870.18</v>
      </c>
      <c r="E427">
        <v>1918.27</v>
      </c>
      <c r="F427">
        <v>85</v>
      </c>
    </row>
    <row r="428" spans="1:6" x14ac:dyDescent="0.2">
      <c r="A428" t="s">
        <v>14</v>
      </c>
      <c r="B428" t="s">
        <v>7</v>
      </c>
      <c r="C428">
        <v>6041.96</v>
      </c>
      <c r="D428">
        <v>3323.08</v>
      </c>
      <c r="E428">
        <v>2718.88</v>
      </c>
      <c r="F428">
        <v>55</v>
      </c>
    </row>
    <row r="429" spans="1:6" x14ac:dyDescent="0.2">
      <c r="A429" t="s">
        <v>14</v>
      </c>
      <c r="B429" t="s">
        <v>7</v>
      </c>
      <c r="C429">
        <v>9321.26</v>
      </c>
      <c r="D429">
        <v>5126.6899999999996</v>
      </c>
      <c r="E429">
        <v>4194.57</v>
      </c>
      <c r="F429">
        <v>55</v>
      </c>
    </row>
    <row r="430" spans="1:6" x14ac:dyDescent="0.2">
      <c r="A430" t="s">
        <v>14</v>
      </c>
      <c r="B430" t="s">
        <v>9</v>
      </c>
      <c r="C430">
        <v>12450.1</v>
      </c>
      <c r="D430">
        <v>10582.58</v>
      </c>
      <c r="E430">
        <v>1867.52</v>
      </c>
      <c r="F430">
        <v>85</v>
      </c>
    </row>
    <row r="431" spans="1:6" x14ac:dyDescent="0.2">
      <c r="A431" t="s">
        <v>14</v>
      </c>
      <c r="B431" t="s">
        <v>9</v>
      </c>
      <c r="C431">
        <v>11855.99</v>
      </c>
      <c r="D431">
        <v>10077.59</v>
      </c>
      <c r="E431">
        <v>1778.3999999999901</v>
      </c>
      <c r="F431">
        <v>85</v>
      </c>
    </row>
    <row r="432" spans="1:6" x14ac:dyDescent="0.2">
      <c r="A432" t="s">
        <v>14</v>
      </c>
      <c r="B432" t="s">
        <v>9</v>
      </c>
      <c r="C432">
        <v>8638.77</v>
      </c>
      <c r="D432">
        <v>7342.95</v>
      </c>
      <c r="E432">
        <v>1295.82</v>
      </c>
      <c r="F432">
        <v>85</v>
      </c>
    </row>
    <row r="433" spans="1:6" x14ac:dyDescent="0.2">
      <c r="A433" t="s">
        <v>14</v>
      </c>
      <c r="B433" t="s">
        <v>7</v>
      </c>
      <c r="C433">
        <v>11898.82</v>
      </c>
      <c r="D433">
        <v>6544.35</v>
      </c>
      <c r="E433">
        <v>5354.4699999999903</v>
      </c>
      <c r="F433">
        <v>55</v>
      </c>
    </row>
    <row r="434" spans="1:6" x14ac:dyDescent="0.2">
      <c r="A434" t="s">
        <v>14</v>
      </c>
      <c r="B434" t="s">
        <v>8</v>
      </c>
      <c r="C434">
        <v>12455.45</v>
      </c>
      <c r="D434">
        <v>8096.04</v>
      </c>
      <c r="E434">
        <v>4359.41</v>
      </c>
      <c r="F434">
        <v>65</v>
      </c>
    </row>
    <row r="435" spans="1:6" x14ac:dyDescent="0.2">
      <c r="A435" t="s">
        <v>14</v>
      </c>
      <c r="B435" t="s">
        <v>8</v>
      </c>
      <c r="C435">
        <v>10401.540000000001</v>
      </c>
      <c r="D435">
        <v>6761</v>
      </c>
      <c r="E435">
        <v>3640.54</v>
      </c>
      <c r="F435">
        <v>65</v>
      </c>
    </row>
    <row r="436" spans="1:6" x14ac:dyDescent="0.2">
      <c r="A436" t="s">
        <v>14</v>
      </c>
      <c r="B436" t="s">
        <v>9</v>
      </c>
      <c r="C436">
        <v>11339.92</v>
      </c>
      <c r="D436">
        <v>9638.93</v>
      </c>
      <c r="E436">
        <v>1700.98999999999</v>
      </c>
      <c r="F436">
        <v>85</v>
      </c>
    </row>
    <row r="437" spans="1:6" x14ac:dyDescent="0.2">
      <c r="A437" t="s">
        <v>14</v>
      </c>
      <c r="B437" t="s">
        <v>10</v>
      </c>
      <c r="C437">
        <v>9360.18</v>
      </c>
      <c r="D437">
        <v>2340.0500000000002</v>
      </c>
      <c r="E437">
        <v>7020.13</v>
      </c>
      <c r="F437">
        <v>25</v>
      </c>
    </row>
    <row r="438" spans="1:6" x14ac:dyDescent="0.2">
      <c r="A438" t="s">
        <v>14</v>
      </c>
      <c r="B438" t="s">
        <v>10</v>
      </c>
      <c r="C438">
        <v>13387.21</v>
      </c>
      <c r="D438">
        <v>3346.8</v>
      </c>
      <c r="E438">
        <v>10040.41</v>
      </c>
      <c r="F438">
        <v>25</v>
      </c>
    </row>
    <row r="439" spans="1:6" x14ac:dyDescent="0.2">
      <c r="A439" t="s">
        <v>14</v>
      </c>
      <c r="B439" t="s">
        <v>9</v>
      </c>
      <c r="C439">
        <v>9758.75</v>
      </c>
      <c r="D439">
        <v>8294.94</v>
      </c>
      <c r="E439">
        <v>1463.8099999999899</v>
      </c>
      <c r="F439">
        <v>85</v>
      </c>
    </row>
    <row r="440" spans="1:6" x14ac:dyDescent="0.2">
      <c r="A440" t="s">
        <v>14</v>
      </c>
      <c r="B440" t="s">
        <v>8</v>
      </c>
      <c r="C440">
        <v>5784.52</v>
      </c>
      <c r="D440">
        <v>3759.94</v>
      </c>
      <c r="E440">
        <v>2024.58</v>
      </c>
      <c r="F440">
        <v>65</v>
      </c>
    </row>
    <row r="441" spans="1:6" x14ac:dyDescent="0.2">
      <c r="A441" t="s">
        <v>14</v>
      </c>
      <c r="B441" t="s">
        <v>8</v>
      </c>
      <c r="C441">
        <v>11503.1</v>
      </c>
      <c r="D441">
        <v>7477.02</v>
      </c>
      <c r="E441">
        <v>4026.08</v>
      </c>
      <c r="F441">
        <v>65</v>
      </c>
    </row>
    <row r="442" spans="1:6" x14ac:dyDescent="0.2">
      <c r="A442" t="s">
        <v>14</v>
      </c>
      <c r="B442" t="s">
        <v>8</v>
      </c>
      <c r="C442">
        <v>6872.55</v>
      </c>
      <c r="D442">
        <v>4467.16</v>
      </c>
      <c r="E442">
        <v>2405.39</v>
      </c>
      <c r="F442">
        <v>65</v>
      </c>
    </row>
    <row r="443" spans="1:6" x14ac:dyDescent="0.2">
      <c r="A443" t="s">
        <v>14</v>
      </c>
      <c r="B443" t="s">
        <v>9</v>
      </c>
      <c r="C443">
        <v>13833.78</v>
      </c>
      <c r="D443">
        <v>11758.71</v>
      </c>
      <c r="E443">
        <v>2075.0700000000002</v>
      </c>
      <c r="F443">
        <v>85</v>
      </c>
    </row>
    <row r="444" spans="1:6" x14ac:dyDescent="0.2">
      <c r="A444" t="s">
        <v>14</v>
      </c>
      <c r="B444" t="s">
        <v>8</v>
      </c>
      <c r="C444">
        <v>11237.71</v>
      </c>
      <c r="D444">
        <v>7304.51</v>
      </c>
      <c r="E444">
        <v>3933.1999999999898</v>
      </c>
      <c r="F444">
        <v>65</v>
      </c>
    </row>
    <row r="445" spans="1:6" x14ac:dyDescent="0.2">
      <c r="A445" t="s">
        <v>14</v>
      </c>
      <c r="B445" t="s">
        <v>9</v>
      </c>
      <c r="C445">
        <v>4210.95</v>
      </c>
      <c r="D445">
        <v>3579.31</v>
      </c>
      <c r="E445">
        <v>631.63999999999896</v>
      </c>
      <c r="F445">
        <v>85</v>
      </c>
    </row>
    <row r="446" spans="1:6" x14ac:dyDescent="0.2">
      <c r="A446" t="s">
        <v>14</v>
      </c>
      <c r="B446" t="s">
        <v>8</v>
      </c>
      <c r="C446">
        <v>12603.3</v>
      </c>
      <c r="D446">
        <v>8192.15</v>
      </c>
      <c r="E446">
        <v>4411.1499999999996</v>
      </c>
      <c r="F446">
        <v>65</v>
      </c>
    </row>
    <row r="447" spans="1:6" x14ac:dyDescent="0.2">
      <c r="A447" t="s">
        <v>14</v>
      </c>
      <c r="B447" t="s">
        <v>9</v>
      </c>
      <c r="C447">
        <v>10849.1</v>
      </c>
      <c r="D447">
        <v>9221.74</v>
      </c>
      <c r="E447">
        <v>1627.36</v>
      </c>
      <c r="F447">
        <v>85</v>
      </c>
    </row>
    <row r="448" spans="1:6" x14ac:dyDescent="0.2">
      <c r="A448" t="s">
        <v>14</v>
      </c>
      <c r="B448" t="s">
        <v>8</v>
      </c>
      <c r="C448">
        <v>12140.2</v>
      </c>
      <c r="D448">
        <v>7891.13</v>
      </c>
      <c r="E448">
        <v>4249.07</v>
      </c>
      <c r="F448">
        <v>65</v>
      </c>
    </row>
    <row r="449" spans="1:6" x14ac:dyDescent="0.2">
      <c r="A449" t="s">
        <v>14</v>
      </c>
      <c r="B449" t="s">
        <v>9</v>
      </c>
      <c r="C449">
        <v>10141.049999999999</v>
      </c>
      <c r="D449">
        <v>8619.89</v>
      </c>
      <c r="E449">
        <v>1521.1599999999901</v>
      </c>
      <c r="F449">
        <v>85</v>
      </c>
    </row>
    <row r="450" spans="1:6" x14ac:dyDescent="0.2">
      <c r="A450" t="s">
        <v>14</v>
      </c>
      <c r="B450" t="s">
        <v>10</v>
      </c>
      <c r="C450">
        <v>13669.51</v>
      </c>
      <c r="D450">
        <v>3417.38</v>
      </c>
      <c r="E450">
        <v>10252.129999999999</v>
      </c>
      <c r="F450">
        <v>25</v>
      </c>
    </row>
    <row r="451" spans="1:6" x14ac:dyDescent="0.2">
      <c r="A451" t="s">
        <v>14</v>
      </c>
      <c r="B451" t="s">
        <v>7</v>
      </c>
      <c r="C451">
        <v>7949.7</v>
      </c>
      <c r="D451">
        <v>4372.34</v>
      </c>
      <c r="E451">
        <v>3577.3599999999901</v>
      </c>
      <c r="F451">
        <v>55</v>
      </c>
    </row>
    <row r="452" spans="1:6" x14ac:dyDescent="0.2">
      <c r="A452" t="s">
        <v>14</v>
      </c>
      <c r="B452" t="s">
        <v>7</v>
      </c>
      <c r="C452">
        <v>12759.48</v>
      </c>
      <c r="D452">
        <v>7017.71</v>
      </c>
      <c r="E452">
        <v>5741.7699999999904</v>
      </c>
      <c r="F452">
        <v>55</v>
      </c>
    </row>
    <row r="453" spans="1:6" x14ac:dyDescent="0.2">
      <c r="A453" t="s">
        <v>14</v>
      </c>
      <c r="B453" t="s">
        <v>10</v>
      </c>
      <c r="C453">
        <v>10941.59</v>
      </c>
      <c r="D453">
        <v>2735.4</v>
      </c>
      <c r="E453">
        <v>8206.19</v>
      </c>
      <c r="F453">
        <v>25</v>
      </c>
    </row>
    <row r="454" spans="1:6" x14ac:dyDescent="0.2">
      <c r="A454" t="s">
        <v>14</v>
      </c>
      <c r="B454" t="s">
        <v>9</v>
      </c>
      <c r="C454">
        <v>4954.54</v>
      </c>
      <c r="D454">
        <v>4211.3599999999997</v>
      </c>
      <c r="E454">
        <v>743.18</v>
      </c>
      <c r="F454">
        <v>85</v>
      </c>
    </row>
    <row r="455" spans="1:6" x14ac:dyDescent="0.2">
      <c r="A455" t="s">
        <v>14</v>
      </c>
      <c r="B455" t="s">
        <v>9</v>
      </c>
      <c r="C455">
        <v>4724.2</v>
      </c>
      <c r="D455">
        <v>4015.57</v>
      </c>
      <c r="E455">
        <v>708.62999999999897</v>
      </c>
      <c r="F455">
        <v>85</v>
      </c>
    </row>
    <row r="456" spans="1:6" x14ac:dyDescent="0.2">
      <c r="A456" t="s">
        <v>14</v>
      </c>
      <c r="B456" t="s">
        <v>8</v>
      </c>
      <c r="C456">
        <v>9098.92</v>
      </c>
      <c r="D456">
        <v>5914.3</v>
      </c>
      <c r="E456">
        <v>3184.62</v>
      </c>
      <c r="F456">
        <v>65</v>
      </c>
    </row>
    <row r="457" spans="1:6" x14ac:dyDescent="0.2">
      <c r="A457" t="s">
        <v>14</v>
      </c>
      <c r="B457" t="s">
        <v>8</v>
      </c>
      <c r="C457">
        <v>7585.64</v>
      </c>
      <c r="D457">
        <v>4930.67</v>
      </c>
      <c r="E457">
        <v>2654.97</v>
      </c>
      <c r="F457">
        <v>65</v>
      </c>
    </row>
    <row r="458" spans="1:6" x14ac:dyDescent="0.2">
      <c r="A458" t="s">
        <v>14</v>
      </c>
      <c r="B458" t="s">
        <v>8</v>
      </c>
      <c r="C458">
        <v>4198.97</v>
      </c>
      <c r="D458">
        <v>2729.33</v>
      </c>
      <c r="E458">
        <v>1469.64</v>
      </c>
      <c r="F458">
        <v>65</v>
      </c>
    </row>
    <row r="459" spans="1:6" x14ac:dyDescent="0.2">
      <c r="A459" t="s">
        <v>14</v>
      </c>
      <c r="B459" t="s">
        <v>9</v>
      </c>
      <c r="C459">
        <v>6377.81</v>
      </c>
      <c r="D459">
        <v>5421.14</v>
      </c>
      <c r="E459">
        <v>956.67</v>
      </c>
      <c r="F459">
        <v>85</v>
      </c>
    </row>
    <row r="460" spans="1:6" x14ac:dyDescent="0.2">
      <c r="A460" t="s">
        <v>14</v>
      </c>
      <c r="B460" t="s">
        <v>8</v>
      </c>
      <c r="C460">
        <v>9502.83</v>
      </c>
      <c r="D460">
        <v>6176.84</v>
      </c>
      <c r="E460">
        <v>3325.99</v>
      </c>
      <c r="F460">
        <v>65</v>
      </c>
    </row>
    <row r="461" spans="1:6" x14ac:dyDescent="0.2">
      <c r="A461" t="s">
        <v>14</v>
      </c>
      <c r="B461" t="s">
        <v>9</v>
      </c>
      <c r="C461">
        <v>7523.25</v>
      </c>
      <c r="D461">
        <v>6394.76</v>
      </c>
      <c r="E461">
        <v>1128.48999999999</v>
      </c>
      <c r="F461">
        <v>85</v>
      </c>
    </row>
    <row r="462" spans="1:6" x14ac:dyDescent="0.2">
      <c r="A462" t="s">
        <v>14</v>
      </c>
      <c r="B462" t="s">
        <v>10</v>
      </c>
      <c r="C462">
        <v>16929.169999999998</v>
      </c>
      <c r="D462">
        <v>4232.29</v>
      </c>
      <c r="E462">
        <v>12696.879999999899</v>
      </c>
      <c r="F462">
        <v>25</v>
      </c>
    </row>
    <row r="463" spans="1:6" x14ac:dyDescent="0.2">
      <c r="A463" t="s">
        <v>14</v>
      </c>
      <c r="B463" t="s">
        <v>8</v>
      </c>
      <c r="C463">
        <v>8008.31</v>
      </c>
      <c r="D463">
        <v>5205.3999999999996</v>
      </c>
      <c r="E463">
        <v>2802.91</v>
      </c>
      <c r="F463">
        <v>65</v>
      </c>
    </row>
    <row r="464" spans="1:6" x14ac:dyDescent="0.2">
      <c r="A464" t="s">
        <v>14</v>
      </c>
      <c r="B464" t="s">
        <v>10</v>
      </c>
      <c r="C464">
        <v>13501.31</v>
      </c>
      <c r="D464">
        <v>3375.33</v>
      </c>
      <c r="E464">
        <v>10125.98</v>
      </c>
      <c r="F464">
        <v>25</v>
      </c>
    </row>
    <row r="465" spans="1:6" x14ac:dyDescent="0.2">
      <c r="A465" t="s">
        <v>14</v>
      </c>
      <c r="B465" t="s">
        <v>7</v>
      </c>
      <c r="C465">
        <v>14863.33</v>
      </c>
      <c r="D465">
        <v>8174.83</v>
      </c>
      <c r="E465">
        <v>6688.5</v>
      </c>
      <c r="F465">
        <v>55</v>
      </c>
    </row>
    <row r="466" spans="1:6" x14ac:dyDescent="0.2">
      <c r="A466" t="s">
        <v>14</v>
      </c>
      <c r="B466" t="s">
        <v>8</v>
      </c>
      <c r="C466">
        <v>8447.4</v>
      </c>
      <c r="D466">
        <v>5490.81</v>
      </c>
      <c r="E466">
        <v>2956.5899999999901</v>
      </c>
      <c r="F466">
        <v>65</v>
      </c>
    </row>
    <row r="467" spans="1:6" x14ac:dyDescent="0.2">
      <c r="A467" t="s">
        <v>14</v>
      </c>
      <c r="B467" t="s">
        <v>8</v>
      </c>
      <c r="C467">
        <v>8203.23</v>
      </c>
      <c r="D467">
        <v>5332.1</v>
      </c>
      <c r="E467">
        <v>2871.1299999999901</v>
      </c>
      <c r="F467">
        <v>65</v>
      </c>
    </row>
    <row r="468" spans="1:6" x14ac:dyDescent="0.2">
      <c r="A468" t="s">
        <v>14</v>
      </c>
      <c r="B468" t="s">
        <v>9</v>
      </c>
      <c r="C468">
        <v>8512.09</v>
      </c>
      <c r="D468">
        <v>7235.28</v>
      </c>
      <c r="E468">
        <v>1276.81</v>
      </c>
      <c r="F468">
        <v>85</v>
      </c>
    </row>
    <row r="469" spans="1:6" x14ac:dyDescent="0.2">
      <c r="A469" t="s">
        <v>14</v>
      </c>
      <c r="B469" t="s">
        <v>10</v>
      </c>
      <c r="C469">
        <v>9495.66</v>
      </c>
      <c r="D469">
        <v>2373.91</v>
      </c>
      <c r="E469">
        <v>7121.75</v>
      </c>
      <c r="F469">
        <v>25</v>
      </c>
    </row>
    <row r="470" spans="1:6" x14ac:dyDescent="0.2">
      <c r="A470" t="s">
        <v>14</v>
      </c>
      <c r="B470" t="s">
        <v>9</v>
      </c>
      <c r="C470">
        <v>8879.7999999999993</v>
      </c>
      <c r="D470">
        <v>7547.83</v>
      </c>
      <c r="E470">
        <v>1331.96999999999</v>
      </c>
      <c r="F470">
        <v>85</v>
      </c>
    </row>
    <row r="471" spans="1:6" x14ac:dyDescent="0.2">
      <c r="A471" t="s">
        <v>14</v>
      </c>
      <c r="B471" t="s">
        <v>9</v>
      </c>
      <c r="C471">
        <v>6479.29</v>
      </c>
      <c r="D471">
        <v>5507.4</v>
      </c>
      <c r="E471">
        <v>971.89</v>
      </c>
      <c r="F471">
        <v>85</v>
      </c>
    </row>
    <row r="472" spans="1:6" x14ac:dyDescent="0.2">
      <c r="A472" t="s">
        <v>14</v>
      </c>
      <c r="B472" t="s">
        <v>9</v>
      </c>
      <c r="C472">
        <v>11030.86</v>
      </c>
      <c r="D472">
        <v>9376.23</v>
      </c>
      <c r="E472">
        <v>1654.63</v>
      </c>
      <c r="F472">
        <v>85</v>
      </c>
    </row>
    <row r="473" spans="1:6" x14ac:dyDescent="0.2">
      <c r="A473" t="s">
        <v>14</v>
      </c>
      <c r="B473" t="s">
        <v>8</v>
      </c>
      <c r="C473">
        <v>8870.34</v>
      </c>
      <c r="D473">
        <v>5765.72</v>
      </c>
      <c r="E473">
        <v>3104.62</v>
      </c>
      <c r="F473">
        <v>65</v>
      </c>
    </row>
    <row r="474" spans="1:6" x14ac:dyDescent="0.2">
      <c r="A474" t="s">
        <v>14</v>
      </c>
      <c r="B474" t="s">
        <v>8</v>
      </c>
      <c r="C474">
        <v>17072.13</v>
      </c>
      <c r="D474">
        <v>11096.88</v>
      </c>
      <c r="E474">
        <v>5975.25</v>
      </c>
      <c r="F474">
        <v>65</v>
      </c>
    </row>
    <row r="475" spans="1:6" x14ac:dyDescent="0.2">
      <c r="A475" t="s">
        <v>14</v>
      </c>
      <c r="B475" t="s">
        <v>9</v>
      </c>
      <c r="C475">
        <v>12813.51</v>
      </c>
      <c r="D475">
        <v>10891.48</v>
      </c>
      <c r="E475">
        <v>1922.03</v>
      </c>
      <c r="F475">
        <v>85</v>
      </c>
    </row>
    <row r="476" spans="1:6" x14ac:dyDescent="0.2">
      <c r="A476" t="s">
        <v>14</v>
      </c>
      <c r="B476" t="s">
        <v>8</v>
      </c>
      <c r="C476">
        <v>8912.39</v>
      </c>
      <c r="D476">
        <v>5793.05</v>
      </c>
      <c r="E476">
        <v>3119.3399999999901</v>
      </c>
      <c r="F476">
        <v>65</v>
      </c>
    </row>
    <row r="477" spans="1:6" x14ac:dyDescent="0.2">
      <c r="A477" t="s">
        <v>14</v>
      </c>
      <c r="B477" t="s">
        <v>8</v>
      </c>
      <c r="C477">
        <v>11751.4</v>
      </c>
      <c r="D477">
        <v>7638.41</v>
      </c>
      <c r="E477">
        <v>4112.99</v>
      </c>
      <c r="F477">
        <v>65</v>
      </c>
    </row>
    <row r="478" spans="1:6" x14ac:dyDescent="0.2">
      <c r="A478" t="s">
        <v>14</v>
      </c>
      <c r="B478" t="s">
        <v>9</v>
      </c>
      <c r="C478">
        <v>11630.5</v>
      </c>
      <c r="D478">
        <v>9885.92</v>
      </c>
      <c r="E478">
        <v>1744.58</v>
      </c>
      <c r="F478">
        <v>85</v>
      </c>
    </row>
    <row r="479" spans="1:6" x14ac:dyDescent="0.2">
      <c r="A479" t="s">
        <v>14</v>
      </c>
      <c r="B479" t="s">
        <v>9</v>
      </c>
      <c r="C479">
        <v>13250.83</v>
      </c>
      <c r="D479">
        <v>11263.21</v>
      </c>
      <c r="E479">
        <v>1987.62</v>
      </c>
      <c r="F479">
        <v>85</v>
      </c>
    </row>
    <row r="480" spans="1:6" x14ac:dyDescent="0.2">
      <c r="A480" t="s">
        <v>14</v>
      </c>
      <c r="B480" t="s">
        <v>8</v>
      </c>
      <c r="C480">
        <v>4754.3599999999997</v>
      </c>
      <c r="D480">
        <v>3090.33</v>
      </c>
      <c r="E480">
        <v>1664.02999999999</v>
      </c>
      <c r="F480">
        <v>65</v>
      </c>
    </row>
    <row r="481" spans="1:6" x14ac:dyDescent="0.2">
      <c r="A481" t="s">
        <v>14</v>
      </c>
      <c r="B481" t="s">
        <v>8</v>
      </c>
      <c r="C481">
        <v>6227.98</v>
      </c>
      <c r="D481">
        <v>4048.19</v>
      </c>
      <c r="E481">
        <v>2179.78999999999</v>
      </c>
      <c r="F481">
        <v>65</v>
      </c>
    </row>
    <row r="482" spans="1:6" x14ac:dyDescent="0.2">
      <c r="A482" t="s">
        <v>14</v>
      </c>
      <c r="B482" t="s">
        <v>9</v>
      </c>
      <c r="C482">
        <v>7477.27</v>
      </c>
      <c r="D482">
        <v>6355.68</v>
      </c>
      <c r="E482">
        <v>1121.5899999999999</v>
      </c>
      <c r="F482">
        <v>85</v>
      </c>
    </row>
    <row r="483" spans="1:6" x14ac:dyDescent="0.2">
      <c r="A483" t="s">
        <v>14</v>
      </c>
      <c r="B483" t="s">
        <v>8</v>
      </c>
      <c r="C483">
        <v>9975.17</v>
      </c>
      <c r="D483">
        <v>6483.86</v>
      </c>
      <c r="E483">
        <v>3491.31</v>
      </c>
      <c r="F483">
        <v>65</v>
      </c>
    </row>
    <row r="484" spans="1:6" x14ac:dyDescent="0.2">
      <c r="A484" t="s">
        <v>14</v>
      </c>
      <c r="B484" t="s">
        <v>9</v>
      </c>
      <c r="C484">
        <v>1000</v>
      </c>
      <c r="D484">
        <v>850</v>
      </c>
      <c r="E484">
        <v>150</v>
      </c>
      <c r="F484">
        <v>85</v>
      </c>
    </row>
    <row r="485" spans="1:6" x14ac:dyDescent="0.2">
      <c r="A485" t="s">
        <v>14</v>
      </c>
      <c r="B485" t="s">
        <v>9</v>
      </c>
      <c r="C485">
        <v>7389.33</v>
      </c>
      <c r="D485">
        <v>6280.93</v>
      </c>
      <c r="E485">
        <v>1108.3999999999901</v>
      </c>
      <c r="F485">
        <v>85</v>
      </c>
    </row>
    <row r="486" spans="1:6" x14ac:dyDescent="0.2">
      <c r="A486" t="s">
        <v>14</v>
      </c>
      <c r="B486" t="s">
        <v>9</v>
      </c>
      <c r="C486">
        <v>13971.62</v>
      </c>
      <c r="D486">
        <v>11875.88</v>
      </c>
      <c r="E486">
        <v>2095.7399999999998</v>
      </c>
      <c r="F486">
        <v>85</v>
      </c>
    </row>
    <row r="487" spans="1:6" x14ac:dyDescent="0.2">
      <c r="A487" t="s">
        <v>14</v>
      </c>
      <c r="B487" t="s">
        <v>9</v>
      </c>
      <c r="C487">
        <v>6604.55</v>
      </c>
      <c r="D487">
        <v>5613.87</v>
      </c>
      <c r="E487">
        <v>990.68</v>
      </c>
      <c r="F487">
        <v>85</v>
      </c>
    </row>
    <row r="488" spans="1:6" x14ac:dyDescent="0.2">
      <c r="A488" t="s">
        <v>14</v>
      </c>
      <c r="B488" t="s">
        <v>8</v>
      </c>
      <c r="C488">
        <v>10720.07</v>
      </c>
      <c r="D488">
        <v>6968.05</v>
      </c>
      <c r="E488">
        <v>3752.01999999999</v>
      </c>
      <c r="F488">
        <v>65</v>
      </c>
    </row>
    <row r="489" spans="1:6" x14ac:dyDescent="0.2">
      <c r="A489" t="s">
        <v>14</v>
      </c>
      <c r="B489" t="s">
        <v>9</v>
      </c>
      <c r="C489">
        <v>10916.66</v>
      </c>
      <c r="D489">
        <v>9279.16</v>
      </c>
      <c r="E489">
        <v>1637.5</v>
      </c>
      <c r="F489">
        <v>85</v>
      </c>
    </row>
    <row r="490" spans="1:6" x14ac:dyDescent="0.2">
      <c r="A490" t="s">
        <v>14</v>
      </c>
      <c r="B490" t="s">
        <v>9</v>
      </c>
      <c r="C490">
        <v>11216.85</v>
      </c>
      <c r="D490">
        <v>9534.32</v>
      </c>
      <c r="E490">
        <v>1682.53</v>
      </c>
      <c r="F490">
        <v>85</v>
      </c>
    </row>
    <row r="491" spans="1:6" x14ac:dyDescent="0.2">
      <c r="A491" t="s">
        <v>14</v>
      </c>
      <c r="B491" t="s">
        <v>9</v>
      </c>
      <c r="C491">
        <v>12145.02</v>
      </c>
      <c r="D491">
        <v>10323.27</v>
      </c>
      <c r="E491">
        <v>1821.75</v>
      </c>
      <c r="F491">
        <v>85</v>
      </c>
    </row>
    <row r="492" spans="1:6" x14ac:dyDescent="0.2">
      <c r="A492" t="s">
        <v>14</v>
      </c>
      <c r="B492" t="s">
        <v>9</v>
      </c>
      <c r="C492">
        <v>13025.56</v>
      </c>
      <c r="D492">
        <v>11071.73</v>
      </c>
      <c r="E492">
        <v>1953.83</v>
      </c>
      <c r="F492">
        <v>85</v>
      </c>
    </row>
    <row r="493" spans="1:6" x14ac:dyDescent="0.2">
      <c r="A493" t="s">
        <v>14</v>
      </c>
      <c r="B493" t="s">
        <v>9</v>
      </c>
      <c r="C493">
        <v>14595.07</v>
      </c>
      <c r="D493">
        <v>12405.81</v>
      </c>
      <c r="E493">
        <v>2189.2600000000002</v>
      </c>
      <c r="F493">
        <v>85</v>
      </c>
    </row>
    <row r="494" spans="1:6" x14ac:dyDescent="0.2">
      <c r="A494" t="s">
        <v>14</v>
      </c>
      <c r="B494" t="s">
        <v>8</v>
      </c>
      <c r="C494">
        <v>8889.0300000000007</v>
      </c>
      <c r="D494">
        <v>5777.87</v>
      </c>
      <c r="E494">
        <v>3111.16</v>
      </c>
      <c r="F494">
        <v>65</v>
      </c>
    </row>
    <row r="495" spans="1:6" x14ac:dyDescent="0.2">
      <c r="A495" t="s">
        <v>14</v>
      </c>
      <c r="B495" t="s">
        <v>9</v>
      </c>
      <c r="C495">
        <v>7499.32</v>
      </c>
      <c r="D495">
        <v>6374.42</v>
      </c>
      <c r="E495">
        <v>1124.8999999999901</v>
      </c>
      <c r="F495">
        <v>85</v>
      </c>
    </row>
    <row r="496" spans="1:6" x14ac:dyDescent="0.2">
      <c r="A496" t="s">
        <v>14</v>
      </c>
      <c r="B496" t="s">
        <v>8</v>
      </c>
      <c r="C496">
        <v>11254.76</v>
      </c>
      <c r="D496">
        <v>7315.59</v>
      </c>
      <c r="E496">
        <v>3939.17</v>
      </c>
      <c r="F496">
        <v>65</v>
      </c>
    </row>
    <row r="497" spans="1:6" x14ac:dyDescent="0.2">
      <c r="A497" t="s">
        <v>14</v>
      </c>
      <c r="B497" t="s">
        <v>7</v>
      </c>
      <c r="C497">
        <v>11201.24</v>
      </c>
      <c r="D497">
        <v>6160.68</v>
      </c>
      <c r="E497">
        <v>5040.5599999999904</v>
      </c>
      <c r="F497">
        <v>55</v>
      </c>
    </row>
    <row r="498" spans="1:6" x14ac:dyDescent="0.2">
      <c r="A498" t="s">
        <v>14</v>
      </c>
      <c r="B498" t="s">
        <v>8</v>
      </c>
      <c r="C498">
        <v>12453.26</v>
      </c>
      <c r="D498">
        <v>8094.62</v>
      </c>
      <c r="E498">
        <v>4358.6400000000003</v>
      </c>
      <c r="F498">
        <v>65</v>
      </c>
    </row>
    <row r="499" spans="1:6" x14ac:dyDescent="0.2">
      <c r="A499" t="s">
        <v>14</v>
      </c>
      <c r="B499" t="s">
        <v>10</v>
      </c>
      <c r="C499">
        <v>5531.82</v>
      </c>
      <c r="D499">
        <v>1382.95</v>
      </c>
      <c r="E499">
        <v>4148.87</v>
      </c>
      <c r="F499">
        <v>25</v>
      </c>
    </row>
    <row r="500" spans="1:6" x14ac:dyDescent="0.2">
      <c r="A500" t="s">
        <v>14</v>
      </c>
      <c r="B500" t="s">
        <v>9</v>
      </c>
      <c r="C500">
        <v>12259.91</v>
      </c>
      <c r="D500">
        <v>10420.92</v>
      </c>
      <c r="E500">
        <v>1838.98999999999</v>
      </c>
      <c r="F500">
        <v>85</v>
      </c>
    </row>
    <row r="501" spans="1:6" x14ac:dyDescent="0.2">
      <c r="A501" t="s">
        <v>14</v>
      </c>
      <c r="B501" t="s">
        <v>7</v>
      </c>
      <c r="C501">
        <v>5949.25</v>
      </c>
      <c r="D501">
        <v>3272.09</v>
      </c>
      <c r="E501">
        <v>2677.16</v>
      </c>
      <c r="F501">
        <v>55</v>
      </c>
    </row>
    <row r="502" spans="1:6" x14ac:dyDescent="0.2">
      <c r="A502" t="s">
        <v>15</v>
      </c>
      <c r="B502" t="s">
        <v>9</v>
      </c>
      <c r="C502">
        <v>10799.74</v>
      </c>
      <c r="D502">
        <v>9179.7800000000007</v>
      </c>
      <c r="E502">
        <v>1619.95999999999</v>
      </c>
      <c r="F502">
        <v>85</v>
      </c>
    </row>
    <row r="503" spans="1:6" x14ac:dyDescent="0.2">
      <c r="A503" t="s">
        <v>15</v>
      </c>
      <c r="B503" t="s">
        <v>7</v>
      </c>
      <c r="C503">
        <v>8795.86</v>
      </c>
      <c r="D503">
        <v>4837.72</v>
      </c>
      <c r="E503">
        <v>3958.14</v>
      </c>
      <c r="F503">
        <v>55</v>
      </c>
    </row>
    <row r="504" spans="1:6" x14ac:dyDescent="0.2">
      <c r="A504" t="s">
        <v>15</v>
      </c>
      <c r="B504" t="s">
        <v>10</v>
      </c>
      <c r="C504">
        <v>13626.95</v>
      </c>
      <c r="D504">
        <v>3406.74</v>
      </c>
      <c r="E504">
        <v>10220.209999999999</v>
      </c>
      <c r="F504">
        <v>25</v>
      </c>
    </row>
    <row r="505" spans="1:6" x14ac:dyDescent="0.2">
      <c r="A505" t="s">
        <v>15</v>
      </c>
      <c r="B505" t="s">
        <v>10</v>
      </c>
      <c r="C505">
        <v>5675.52</v>
      </c>
      <c r="D505">
        <v>1418.88</v>
      </c>
      <c r="E505">
        <v>4256.6400000000003</v>
      </c>
      <c r="F505">
        <v>25</v>
      </c>
    </row>
    <row r="506" spans="1:6" x14ac:dyDescent="0.2">
      <c r="A506" t="s">
        <v>15</v>
      </c>
      <c r="B506" t="s">
        <v>8</v>
      </c>
      <c r="C506">
        <v>10526.64</v>
      </c>
      <c r="D506">
        <v>6842.32</v>
      </c>
      <c r="E506">
        <v>3684.3199999999902</v>
      </c>
      <c r="F506">
        <v>65</v>
      </c>
    </row>
    <row r="507" spans="1:6" x14ac:dyDescent="0.2">
      <c r="A507" t="s">
        <v>15</v>
      </c>
      <c r="B507" t="s">
        <v>8</v>
      </c>
      <c r="C507">
        <v>11225.54</v>
      </c>
      <c r="D507">
        <v>7296.6</v>
      </c>
      <c r="E507">
        <v>3928.94</v>
      </c>
      <c r="F507">
        <v>65</v>
      </c>
    </row>
    <row r="508" spans="1:6" x14ac:dyDescent="0.2">
      <c r="A508" t="s">
        <v>15</v>
      </c>
      <c r="B508" t="s">
        <v>8</v>
      </c>
      <c r="C508">
        <v>8911.1299999999992</v>
      </c>
      <c r="D508">
        <v>5792.23</v>
      </c>
      <c r="E508">
        <v>3118.8999999999901</v>
      </c>
      <c r="F508">
        <v>65</v>
      </c>
    </row>
    <row r="509" spans="1:6" x14ac:dyDescent="0.2">
      <c r="A509" t="s">
        <v>15</v>
      </c>
      <c r="B509" t="s">
        <v>9</v>
      </c>
      <c r="C509">
        <v>10523.92</v>
      </c>
      <c r="D509">
        <v>8945.33</v>
      </c>
      <c r="E509">
        <v>1578.59</v>
      </c>
      <c r="F509">
        <v>85</v>
      </c>
    </row>
    <row r="510" spans="1:6" x14ac:dyDescent="0.2">
      <c r="A510" t="s">
        <v>15</v>
      </c>
      <c r="B510" t="s">
        <v>8</v>
      </c>
      <c r="C510">
        <v>8559.6</v>
      </c>
      <c r="D510">
        <v>5563.74</v>
      </c>
      <c r="E510">
        <v>2995.86</v>
      </c>
      <c r="F510">
        <v>65</v>
      </c>
    </row>
    <row r="511" spans="1:6" x14ac:dyDescent="0.2">
      <c r="A511" t="s">
        <v>15</v>
      </c>
      <c r="B511" t="s">
        <v>9</v>
      </c>
      <c r="C511">
        <v>10383.41</v>
      </c>
      <c r="D511">
        <v>8825.9</v>
      </c>
      <c r="E511">
        <v>1557.51</v>
      </c>
      <c r="F511">
        <v>85</v>
      </c>
    </row>
    <row r="512" spans="1:6" x14ac:dyDescent="0.2">
      <c r="A512" t="s">
        <v>15</v>
      </c>
      <c r="B512" t="s">
        <v>10</v>
      </c>
      <c r="C512">
        <v>11101.31</v>
      </c>
      <c r="D512">
        <v>2775.33</v>
      </c>
      <c r="E512">
        <v>8325.98</v>
      </c>
      <c r="F512">
        <v>25</v>
      </c>
    </row>
    <row r="513" spans="1:6" x14ac:dyDescent="0.2">
      <c r="A513" t="s">
        <v>15</v>
      </c>
      <c r="B513" t="s">
        <v>8</v>
      </c>
      <c r="C513">
        <v>8422.58</v>
      </c>
      <c r="D513">
        <v>5474.68</v>
      </c>
      <c r="E513">
        <v>2947.8999999999901</v>
      </c>
      <c r="F513">
        <v>65</v>
      </c>
    </row>
    <row r="514" spans="1:6" x14ac:dyDescent="0.2">
      <c r="A514" t="s">
        <v>15</v>
      </c>
      <c r="B514" t="s">
        <v>8</v>
      </c>
      <c r="C514">
        <v>9606.8799999999992</v>
      </c>
      <c r="D514">
        <v>6244.47</v>
      </c>
      <c r="E514">
        <v>3362.4099999999899</v>
      </c>
      <c r="F514">
        <v>65</v>
      </c>
    </row>
    <row r="515" spans="1:6" x14ac:dyDescent="0.2">
      <c r="A515" t="s">
        <v>15</v>
      </c>
      <c r="B515" t="s">
        <v>9</v>
      </c>
      <c r="C515">
        <v>3894.28</v>
      </c>
      <c r="D515">
        <v>3310.14</v>
      </c>
      <c r="E515">
        <v>584.14</v>
      </c>
      <c r="F515">
        <v>85</v>
      </c>
    </row>
    <row r="516" spans="1:6" x14ac:dyDescent="0.2">
      <c r="A516" t="s">
        <v>15</v>
      </c>
      <c r="B516" t="s">
        <v>9</v>
      </c>
      <c r="C516">
        <v>4897.0200000000004</v>
      </c>
      <c r="D516">
        <v>4162.47</v>
      </c>
      <c r="E516">
        <v>734.55</v>
      </c>
      <c r="F516">
        <v>85</v>
      </c>
    </row>
    <row r="517" spans="1:6" x14ac:dyDescent="0.2">
      <c r="A517" t="s">
        <v>15</v>
      </c>
      <c r="B517" t="s">
        <v>10</v>
      </c>
      <c r="C517">
        <v>8780.52</v>
      </c>
      <c r="D517">
        <v>2195.13</v>
      </c>
      <c r="E517">
        <v>6585.39</v>
      </c>
      <c r="F517">
        <v>25</v>
      </c>
    </row>
    <row r="518" spans="1:6" x14ac:dyDescent="0.2">
      <c r="A518" t="s">
        <v>15</v>
      </c>
      <c r="B518" t="s">
        <v>7</v>
      </c>
      <c r="C518">
        <v>6310.39</v>
      </c>
      <c r="D518">
        <v>3470.71</v>
      </c>
      <c r="E518">
        <v>2839.68</v>
      </c>
      <c r="F518">
        <v>55</v>
      </c>
    </row>
    <row r="519" spans="1:6" x14ac:dyDescent="0.2">
      <c r="A519" t="s">
        <v>15</v>
      </c>
      <c r="B519" t="s">
        <v>9</v>
      </c>
      <c r="C519">
        <v>9466.7800000000007</v>
      </c>
      <c r="D519">
        <v>8046.76</v>
      </c>
      <c r="E519">
        <v>1420.02</v>
      </c>
      <c r="F519">
        <v>85</v>
      </c>
    </row>
    <row r="520" spans="1:6" x14ac:dyDescent="0.2">
      <c r="A520" t="s">
        <v>15</v>
      </c>
      <c r="B520" t="s">
        <v>9</v>
      </c>
      <c r="C520">
        <v>13365.56</v>
      </c>
      <c r="D520">
        <v>11360.73</v>
      </c>
      <c r="E520">
        <v>2004.83</v>
      </c>
      <c r="F520">
        <v>85</v>
      </c>
    </row>
    <row r="521" spans="1:6" x14ac:dyDescent="0.2">
      <c r="A521" t="s">
        <v>15</v>
      </c>
      <c r="B521" t="s">
        <v>8</v>
      </c>
      <c r="C521">
        <v>13931.63</v>
      </c>
      <c r="D521">
        <v>9055.56</v>
      </c>
      <c r="E521">
        <v>4876.07</v>
      </c>
      <c r="F521">
        <v>65</v>
      </c>
    </row>
    <row r="522" spans="1:6" x14ac:dyDescent="0.2">
      <c r="A522" t="s">
        <v>15</v>
      </c>
      <c r="B522" t="s">
        <v>10</v>
      </c>
      <c r="C522">
        <v>9332.76</v>
      </c>
      <c r="D522">
        <v>2333.19</v>
      </c>
      <c r="E522">
        <v>6999.57</v>
      </c>
      <c r="F522">
        <v>25</v>
      </c>
    </row>
    <row r="523" spans="1:6" x14ac:dyDescent="0.2">
      <c r="A523" t="s">
        <v>15</v>
      </c>
      <c r="B523" t="s">
        <v>10</v>
      </c>
      <c r="C523">
        <v>6559.12</v>
      </c>
      <c r="D523">
        <v>1639.78</v>
      </c>
      <c r="E523">
        <v>4919.34</v>
      </c>
      <c r="F523">
        <v>25</v>
      </c>
    </row>
    <row r="524" spans="1:6" x14ac:dyDescent="0.2">
      <c r="A524" t="s">
        <v>15</v>
      </c>
      <c r="B524" t="s">
        <v>7</v>
      </c>
      <c r="C524">
        <v>6318.22</v>
      </c>
      <c r="D524">
        <v>3475.02</v>
      </c>
      <c r="E524">
        <v>2843.2</v>
      </c>
      <c r="F524">
        <v>55</v>
      </c>
    </row>
    <row r="525" spans="1:6" x14ac:dyDescent="0.2">
      <c r="A525" t="s">
        <v>15</v>
      </c>
      <c r="B525" t="s">
        <v>8</v>
      </c>
      <c r="C525">
        <v>14980.41</v>
      </c>
      <c r="D525">
        <v>9737.27</v>
      </c>
      <c r="E525">
        <v>5243.1399999999903</v>
      </c>
      <c r="F525">
        <v>65</v>
      </c>
    </row>
    <row r="526" spans="1:6" x14ac:dyDescent="0.2">
      <c r="A526" t="s">
        <v>15</v>
      </c>
      <c r="B526" t="s">
        <v>10</v>
      </c>
      <c r="C526">
        <v>12693.67</v>
      </c>
      <c r="D526">
        <v>3173.42</v>
      </c>
      <c r="E526">
        <v>9520.25</v>
      </c>
      <c r="F526">
        <v>25</v>
      </c>
    </row>
    <row r="527" spans="1:6" x14ac:dyDescent="0.2">
      <c r="A527" t="s">
        <v>15</v>
      </c>
      <c r="B527" t="s">
        <v>8</v>
      </c>
      <c r="C527">
        <v>9380.2999999999993</v>
      </c>
      <c r="D527">
        <v>6097.19</v>
      </c>
      <c r="E527">
        <v>3283.1099999999901</v>
      </c>
      <c r="F527">
        <v>65</v>
      </c>
    </row>
    <row r="528" spans="1:6" x14ac:dyDescent="0.2">
      <c r="A528" t="s">
        <v>15</v>
      </c>
      <c r="B528" t="s">
        <v>8</v>
      </c>
      <c r="C528">
        <v>10222.620000000001</v>
      </c>
      <c r="D528">
        <v>6644.7</v>
      </c>
      <c r="E528">
        <v>3577.92</v>
      </c>
      <c r="F528">
        <v>65</v>
      </c>
    </row>
    <row r="529" spans="1:6" x14ac:dyDescent="0.2">
      <c r="A529" t="s">
        <v>15</v>
      </c>
      <c r="B529" t="s">
        <v>7</v>
      </c>
      <c r="C529">
        <v>9311.7900000000009</v>
      </c>
      <c r="D529">
        <v>5121.4799999999996</v>
      </c>
      <c r="E529">
        <v>4190.3100000000004</v>
      </c>
      <c r="F529">
        <v>55</v>
      </c>
    </row>
    <row r="530" spans="1:6" x14ac:dyDescent="0.2">
      <c r="A530" t="s">
        <v>15</v>
      </c>
      <c r="B530" t="s">
        <v>9</v>
      </c>
      <c r="C530">
        <v>11516.51</v>
      </c>
      <c r="D530">
        <v>9789.0300000000007</v>
      </c>
      <c r="E530">
        <v>1727.47999999999</v>
      </c>
      <c r="F530">
        <v>85</v>
      </c>
    </row>
    <row r="531" spans="1:6" x14ac:dyDescent="0.2">
      <c r="A531" t="s">
        <v>15</v>
      </c>
      <c r="B531" t="s">
        <v>8</v>
      </c>
      <c r="C531">
        <v>9913.23</v>
      </c>
      <c r="D531">
        <v>6443.6</v>
      </c>
      <c r="E531">
        <v>3469.6299999999901</v>
      </c>
      <c r="F531">
        <v>65</v>
      </c>
    </row>
    <row r="532" spans="1:6" x14ac:dyDescent="0.2">
      <c r="A532" t="s">
        <v>15</v>
      </c>
      <c r="B532" t="s">
        <v>9</v>
      </c>
      <c r="C532">
        <v>12123.15</v>
      </c>
      <c r="D532">
        <v>10304.68</v>
      </c>
      <c r="E532">
        <v>1818.46999999999</v>
      </c>
      <c r="F532">
        <v>85</v>
      </c>
    </row>
    <row r="533" spans="1:6" x14ac:dyDescent="0.2">
      <c r="A533" t="s">
        <v>15</v>
      </c>
      <c r="B533" t="s">
        <v>9</v>
      </c>
      <c r="C533">
        <v>12167.62</v>
      </c>
      <c r="D533">
        <v>10342.48</v>
      </c>
      <c r="E533">
        <v>1825.14</v>
      </c>
      <c r="F533">
        <v>85</v>
      </c>
    </row>
    <row r="534" spans="1:6" x14ac:dyDescent="0.2">
      <c r="A534" t="s">
        <v>15</v>
      </c>
      <c r="B534" t="s">
        <v>9</v>
      </c>
      <c r="C534">
        <v>7166.89</v>
      </c>
      <c r="D534">
        <v>6091.86</v>
      </c>
      <c r="E534">
        <v>1075.03</v>
      </c>
      <c r="F534">
        <v>85</v>
      </c>
    </row>
    <row r="535" spans="1:6" x14ac:dyDescent="0.2">
      <c r="A535" t="s">
        <v>15</v>
      </c>
      <c r="B535" t="s">
        <v>8</v>
      </c>
      <c r="C535">
        <v>10969.74</v>
      </c>
      <c r="D535">
        <v>7130.33</v>
      </c>
      <c r="E535">
        <v>3839.41</v>
      </c>
      <c r="F535">
        <v>65</v>
      </c>
    </row>
    <row r="536" spans="1:6" x14ac:dyDescent="0.2">
      <c r="A536" t="s">
        <v>15</v>
      </c>
      <c r="B536" t="s">
        <v>10</v>
      </c>
      <c r="C536">
        <v>13747.61</v>
      </c>
      <c r="D536">
        <v>3436.9</v>
      </c>
      <c r="E536">
        <v>10310.709999999999</v>
      </c>
      <c r="F536">
        <v>25</v>
      </c>
    </row>
    <row r="537" spans="1:6" x14ac:dyDescent="0.2">
      <c r="A537" t="s">
        <v>15</v>
      </c>
      <c r="B537" t="s">
        <v>7</v>
      </c>
      <c r="C537">
        <v>11474.21</v>
      </c>
      <c r="D537">
        <v>6310.82</v>
      </c>
      <c r="E537">
        <v>5163.3899999999903</v>
      </c>
      <c r="F537">
        <v>55</v>
      </c>
    </row>
    <row r="538" spans="1:6" x14ac:dyDescent="0.2">
      <c r="A538" t="s">
        <v>15</v>
      </c>
      <c r="B538" t="s">
        <v>8</v>
      </c>
      <c r="C538">
        <v>11124.93</v>
      </c>
      <c r="D538">
        <v>7231.2</v>
      </c>
      <c r="E538">
        <v>3893.73</v>
      </c>
      <c r="F538">
        <v>65</v>
      </c>
    </row>
    <row r="539" spans="1:6" x14ac:dyDescent="0.2">
      <c r="A539" t="s">
        <v>15</v>
      </c>
      <c r="B539" t="s">
        <v>7</v>
      </c>
      <c r="C539">
        <v>7727.8</v>
      </c>
      <c r="D539">
        <v>4250.29</v>
      </c>
      <c r="E539">
        <v>3477.51</v>
      </c>
      <c r="F539">
        <v>55</v>
      </c>
    </row>
    <row r="540" spans="1:6" x14ac:dyDescent="0.2">
      <c r="A540" t="s">
        <v>15</v>
      </c>
      <c r="B540" t="s">
        <v>8</v>
      </c>
      <c r="C540">
        <v>7777.5</v>
      </c>
      <c r="D540">
        <v>5055.38</v>
      </c>
      <c r="E540">
        <v>2722.12</v>
      </c>
      <c r="F540">
        <v>65</v>
      </c>
    </row>
    <row r="541" spans="1:6" x14ac:dyDescent="0.2">
      <c r="A541" t="s">
        <v>15</v>
      </c>
      <c r="B541" t="s">
        <v>9</v>
      </c>
      <c r="C541">
        <v>9957.1299999999992</v>
      </c>
      <c r="D541">
        <v>8463.56</v>
      </c>
      <c r="E541">
        <v>1493.5699999999899</v>
      </c>
      <c r="F541">
        <v>85</v>
      </c>
    </row>
    <row r="542" spans="1:6" x14ac:dyDescent="0.2">
      <c r="A542" t="s">
        <v>15</v>
      </c>
      <c r="B542" t="s">
        <v>8</v>
      </c>
      <c r="C542">
        <v>8096.18</v>
      </c>
      <c r="D542">
        <v>5262.52</v>
      </c>
      <c r="E542">
        <v>2833.66</v>
      </c>
      <c r="F542">
        <v>65</v>
      </c>
    </row>
    <row r="543" spans="1:6" x14ac:dyDescent="0.2">
      <c r="A543" t="s">
        <v>15</v>
      </c>
      <c r="B543" t="s">
        <v>7</v>
      </c>
      <c r="C543">
        <v>12987.26</v>
      </c>
      <c r="D543">
        <v>7142.99</v>
      </c>
      <c r="E543">
        <v>5844.27</v>
      </c>
      <c r="F543">
        <v>55</v>
      </c>
    </row>
    <row r="544" spans="1:6" x14ac:dyDescent="0.2">
      <c r="A544" t="s">
        <v>15</v>
      </c>
      <c r="B544" t="s">
        <v>8</v>
      </c>
      <c r="C544">
        <v>9480.9</v>
      </c>
      <c r="D544">
        <v>6162.59</v>
      </c>
      <c r="E544">
        <v>3318.3099999999899</v>
      </c>
      <c r="F544">
        <v>65</v>
      </c>
    </row>
    <row r="545" spans="1:6" x14ac:dyDescent="0.2">
      <c r="A545" t="s">
        <v>15</v>
      </c>
      <c r="B545" t="s">
        <v>7</v>
      </c>
      <c r="C545">
        <v>7935.52</v>
      </c>
      <c r="D545">
        <v>4364.54</v>
      </c>
      <c r="E545">
        <v>3570.98</v>
      </c>
      <c r="F545">
        <v>55</v>
      </c>
    </row>
    <row r="546" spans="1:6" x14ac:dyDescent="0.2">
      <c r="A546" t="s">
        <v>15</v>
      </c>
      <c r="B546" t="s">
        <v>9</v>
      </c>
      <c r="C546">
        <v>13070.56</v>
      </c>
      <c r="D546">
        <v>11109.98</v>
      </c>
      <c r="E546">
        <v>1960.58</v>
      </c>
      <c r="F546">
        <v>85</v>
      </c>
    </row>
    <row r="547" spans="1:6" x14ac:dyDescent="0.2">
      <c r="A547" t="s">
        <v>15</v>
      </c>
      <c r="B547" t="s">
        <v>9</v>
      </c>
      <c r="C547">
        <v>6719.11</v>
      </c>
      <c r="D547">
        <v>5711.24</v>
      </c>
      <c r="E547">
        <v>1007.86999999999</v>
      </c>
      <c r="F547">
        <v>85</v>
      </c>
    </row>
    <row r="548" spans="1:6" x14ac:dyDescent="0.2">
      <c r="A548" t="s">
        <v>15</v>
      </c>
      <c r="B548" t="s">
        <v>9</v>
      </c>
      <c r="C548">
        <v>9927.4699999999993</v>
      </c>
      <c r="D548">
        <v>8438.35</v>
      </c>
      <c r="E548">
        <v>1489.1199999999899</v>
      </c>
      <c r="F548">
        <v>85</v>
      </c>
    </row>
    <row r="549" spans="1:6" x14ac:dyDescent="0.2">
      <c r="A549" t="s">
        <v>15</v>
      </c>
      <c r="B549" t="s">
        <v>8</v>
      </c>
      <c r="C549">
        <v>8286.99</v>
      </c>
      <c r="D549">
        <v>5386.54</v>
      </c>
      <c r="E549">
        <v>2900.45</v>
      </c>
      <c r="F549">
        <v>65</v>
      </c>
    </row>
    <row r="550" spans="1:6" x14ac:dyDescent="0.2">
      <c r="A550" t="s">
        <v>15</v>
      </c>
      <c r="B550" t="s">
        <v>8</v>
      </c>
      <c r="C550">
        <v>17206.080000000002</v>
      </c>
      <c r="D550">
        <v>11183.95</v>
      </c>
      <c r="E550">
        <v>6022.13</v>
      </c>
      <c r="F550">
        <v>65</v>
      </c>
    </row>
    <row r="551" spans="1:6" x14ac:dyDescent="0.2">
      <c r="A551" t="s">
        <v>15</v>
      </c>
      <c r="B551" t="s">
        <v>9</v>
      </c>
      <c r="C551">
        <v>9932.19</v>
      </c>
      <c r="D551">
        <v>8442.36</v>
      </c>
      <c r="E551">
        <v>1489.83</v>
      </c>
      <c r="F551">
        <v>85</v>
      </c>
    </row>
    <row r="552" spans="1:6" x14ac:dyDescent="0.2">
      <c r="A552" t="s">
        <v>15</v>
      </c>
      <c r="B552" t="s">
        <v>9</v>
      </c>
      <c r="C552">
        <v>7371.04</v>
      </c>
      <c r="D552">
        <v>6265.38</v>
      </c>
      <c r="E552">
        <v>1105.6599999999901</v>
      </c>
      <c r="F552">
        <v>85</v>
      </c>
    </row>
    <row r="553" spans="1:6" x14ac:dyDescent="0.2">
      <c r="A553" t="s">
        <v>15</v>
      </c>
      <c r="B553" t="s">
        <v>7</v>
      </c>
      <c r="C553">
        <v>10112.98</v>
      </c>
      <c r="D553">
        <v>5562.14</v>
      </c>
      <c r="E553">
        <v>4550.8399999999901</v>
      </c>
      <c r="F553">
        <v>55</v>
      </c>
    </row>
    <row r="554" spans="1:6" x14ac:dyDescent="0.2">
      <c r="A554" t="s">
        <v>15</v>
      </c>
      <c r="B554" t="s">
        <v>8</v>
      </c>
      <c r="C554">
        <v>9462.9599999999991</v>
      </c>
      <c r="D554">
        <v>6150.92</v>
      </c>
      <c r="E554">
        <v>3312.03999999999</v>
      </c>
      <c r="F554">
        <v>65</v>
      </c>
    </row>
    <row r="555" spans="1:6" x14ac:dyDescent="0.2">
      <c r="A555" t="s">
        <v>15</v>
      </c>
      <c r="B555" t="s">
        <v>8</v>
      </c>
      <c r="C555">
        <v>7804.37</v>
      </c>
      <c r="D555">
        <v>5072.84</v>
      </c>
      <c r="E555">
        <v>2731.5299999999902</v>
      </c>
      <c r="F555">
        <v>65</v>
      </c>
    </row>
    <row r="556" spans="1:6" x14ac:dyDescent="0.2">
      <c r="A556" t="s">
        <v>15</v>
      </c>
      <c r="B556" t="s">
        <v>9</v>
      </c>
      <c r="C556">
        <v>12966.65</v>
      </c>
      <c r="D556">
        <v>11021.65</v>
      </c>
      <c r="E556">
        <v>1945</v>
      </c>
      <c r="F556">
        <v>85</v>
      </c>
    </row>
    <row r="557" spans="1:6" x14ac:dyDescent="0.2">
      <c r="A557" t="s">
        <v>15</v>
      </c>
      <c r="B557" t="s">
        <v>8</v>
      </c>
      <c r="C557">
        <v>11869.93</v>
      </c>
      <c r="D557">
        <v>7715.45</v>
      </c>
      <c r="E557">
        <v>4154.4799999999996</v>
      </c>
      <c r="F557">
        <v>65</v>
      </c>
    </row>
    <row r="558" spans="1:6" x14ac:dyDescent="0.2">
      <c r="A558" t="s">
        <v>15</v>
      </c>
      <c r="B558" t="s">
        <v>8</v>
      </c>
      <c r="C558">
        <v>10826.53</v>
      </c>
      <c r="D558">
        <v>7037.24</v>
      </c>
      <c r="E558">
        <v>3789.29</v>
      </c>
      <c r="F558">
        <v>65</v>
      </c>
    </row>
    <row r="559" spans="1:6" x14ac:dyDescent="0.2">
      <c r="A559" t="s">
        <v>15</v>
      </c>
      <c r="B559" t="s">
        <v>9</v>
      </c>
      <c r="C559">
        <v>7604.36</v>
      </c>
      <c r="D559">
        <v>6463.71</v>
      </c>
      <c r="E559">
        <v>1140.6499999999901</v>
      </c>
      <c r="F559">
        <v>85</v>
      </c>
    </row>
    <row r="560" spans="1:6" x14ac:dyDescent="0.2">
      <c r="A560" t="s">
        <v>15</v>
      </c>
      <c r="B560" t="s">
        <v>8</v>
      </c>
      <c r="C560">
        <v>15435.94</v>
      </c>
      <c r="D560">
        <v>10033.36</v>
      </c>
      <c r="E560">
        <v>5402.58</v>
      </c>
      <c r="F560">
        <v>65</v>
      </c>
    </row>
    <row r="561" spans="1:6" x14ac:dyDescent="0.2">
      <c r="A561" t="s">
        <v>15</v>
      </c>
      <c r="B561" t="s">
        <v>9</v>
      </c>
      <c r="C561">
        <v>11073.78</v>
      </c>
      <c r="D561">
        <v>9412.7099999999991</v>
      </c>
      <c r="E561">
        <v>1661.07</v>
      </c>
      <c r="F561">
        <v>85</v>
      </c>
    </row>
    <row r="562" spans="1:6" x14ac:dyDescent="0.2">
      <c r="A562" t="s">
        <v>15</v>
      </c>
      <c r="B562" t="s">
        <v>9</v>
      </c>
      <c r="C562">
        <v>8261.61</v>
      </c>
      <c r="D562">
        <v>7022.37</v>
      </c>
      <c r="E562">
        <v>1239.24</v>
      </c>
      <c r="F562">
        <v>85</v>
      </c>
    </row>
    <row r="563" spans="1:6" x14ac:dyDescent="0.2">
      <c r="A563" t="s">
        <v>15</v>
      </c>
      <c r="B563" t="s">
        <v>9</v>
      </c>
      <c r="C563">
        <v>13267.03</v>
      </c>
      <c r="D563">
        <v>11276.98</v>
      </c>
      <c r="E563">
        <v>1990.05</v>
      </c>
      <c r="F563">
        <v>85</v>
      </c>
    </row>
    <row r="564" spans="1:6" x14ac:dyDescent="0.2">
      <c r="A564" t="s">
        <v>15</v>
      </c>
      <c r="B564" t="s">
        <v>8</v>
      </c>
      <c r="C564">
        <v>10343.6</v>
      </c>
      <c r="D564">
        <v>6723.34</v>
      </c>
      <c r="E564">
        <v>3620.26</v>
      </c>
      <c r="F564">
        <v>65</v>
      </c>
    </row>
    <row r="565" spans="1:6" x14ac:dyDescent="0.2">
      <c r="A565" t="s">
        <v>15</v>
      </c>
      <c r="B565" t="s">
        <v>9</v>
      </c>
      <c r="C565">
        <v>12850.44</v>
      </c>
      <c r="D565">
        <v>10922.87</v>
      </c>
      <c r="E565">
        <v>1927.5699999999899</v>
      </c>
      <c r="F565">
        <v>85</v>
      </c>
    </row>
    <row r="566" spans="1:6" x14ac:dyDescent="0.2">
      <c r="A566" t="s">
        <v>15</v>
      </c>
      <c r="B566" t="s">
        <v>7</v>
      </c>
      <c r="C566">
        <v>11204.03</v>
      </c>
      <c r="D566">
        <v>6162.22</v>
      </c>
      <c r="E566">
        <v>5041.8100000000004</v>
      </c>
      <c r="F566">
        <v>55</v>
      </c>
    </row>
    <row r="567" spans="1:6" x14ac:dyDescent="0.2">
      <c r="A567" t="s">
        <v>15</v>
      </c>
      <c r="B567" t="s">
        <v>9</v>
      </c>
      <c r="C567">
        <v>16547.52</v>
      </c>
      <c r="D567">
        <v>14065.39</v>
      </c>
      <c r="E567">
        <v>2482.13</v>
      </c>
      <c r="F567">
        <v>85</v>
      </c>
    </row>
    <row r="568" spans="1:6" x14ac:dyDescent="0.2">
      <c r="A568" t="s">
        <v>15</v>
      </c>
      <c r="B568" t="s">
        <v>8</v>
      </c>
      <c r="C568">
        <v>6905.27</v>
      </c>
      <c r="D568">
        <v>4488.43</v>
      </c>
      <c r="E568">
        <v>2416.84</v>
      </c>
      <c r="F568">
        <v>65</v>
      </c>
    </row>
    <row r="569" spans="1:6" x14ac:dyDescent="0.2">
      <c r="A569" t="s">
        <v>15</v>
      </c>
      <c r="B569" t="s">
        <v>9</v>
      </c>
      <c r="C569">
        <v>8412.11</v>
      </c>
      <c r="D569">
        <v>7150.29</v>
      </c>
      <c r="E569">
        <v>1261.82</v>
      </c>
      <c r="F569">
        <v>85</v>
      </c>
    </row>
    <row r="570" spans="1:6" x14ac:dyDescent="0.2">
      <c r="A570" t="s">
        <v>15</v>
      </c>
      <c r="B570" t="s">
        <v>9</v>
      </c>
      <c r="C570">
        <v>18895.03</v>
      </c>
      <c r="D570">
        <v>16060.78</v>
      </c>
      <c r="E570">
        <v>2834.24999999999</v>
      </c>
      <c r="F570">
        <v>85</v>
      </c>
    </row>
    <row r="571" spans="1:6" x14ac:dyDescent="0.2">
      <c r="A571" t="s">
        <v>15</v>
      </c>
      <c r="B571" t="s">
        <v>9</v>
      </c>
      <c r="C571">
        <v>9710.11</v>
      </c>
      <c r="D571">
        <v>8253.59</v>
      </c>
      <c r="E571">
        <v>1456.52</v>
      </c>
      <c r="F571">
        <v>85</v>
      </c>
    </row>
    <row r="572" spans="1:6" x14ac:dyDescent="0.2">
      <c r="A572" t="s">
        <v>15</v>
      </c>
      <c r="B572" t="s">
        <v>8</v>
      </c>
      <c r="C572">
        <v>6616.52</v>
      </c>
      <c r="D572">
        <v>4300.74</v>
      </c>
      <c r="E572">
        <v>2315.7800000000002</v>
      </c>
      <c r="F572">
        <v>65</v>
      </c>
    </row>
    <row r="573" spans="1:6" x14ac:dyDescent="0.2">
      <c r="A573" t="s">
        <v>15</v>
      </c>
      <c r="B573" t="s">
        <v>9</v>
      </c>
      <c r="C573">
        <v>11692.83</v>
      </c>
      <c r="D573">
        <v>9938.91</v>
      </c>
      <c r="E573">
        <v>1753.92</v>
      </c>
      <c r="F573">
        <v>85</v>
      </c>
    </row>
    <row r="574" spans="1:6" x14ac:dyDescent="0.2">
      <c r="A574" t="s">
        <v>15</v>
      </c>
      <c r="B574" t="s">
        <v>8</v>
      </c>
      <c r="C574">
        <v>13273.14</v>
      </c>
      <c r="D574">
        <v>8627.5400000000009</v>
      </c>
      <c r="E574">
        <v>4645.5999999999904</v>
      </c>
      <c r="F574">
        <v>65</v>
      </c>
    </row>
    <row r="575" spans="1:6" x14ac:dyDescent="0.2">
      <c r="A575" t="s">
        <v>15</v>
      </c>
      <c r="B575" t="s">
        <v>9</v>
      </c>
      <c r="C575">
        <v>9667.7999999999993</v>
      </c>
      <c r="D575">
        <v>8217.6299999999992</v>
      </c>
      <c r="E575">
        <v>1450.17</v>
      </c>
      <c r="F575">
        <v>85</v>
      </c>
    </row>
    <row r="576" spans="1:6" x14ac:dyDescent="0.2">
      <c r="A576" t="s">
        <v>15</v>
      </c>
      <c r="B576" t="s">
        <v>9</v>
      </c>
      <c r="C576">
        <v>4407.01</v>
      </c>
      <c r="D576">
        <v>3745.96</v>
      </c>
      <c r="E576">
        <v>661.05</v>
      </c>
      <c r="F576">
        <v>85</v>
      </c>
    </row>
    <row r="577" spans="1:6" x14ac:dyDescent="0.2">
      <c r="A577" t="s">
        <v>15</v>
      </c>
      <c r="B577" t="s">
        <v>7</v>
      </c>
      <c r="C577">
        <v>7295.2</v>
      </c>
      <c r="D577">
        <v>4012.36</v>
      </c>
      <c r="E577">
        <v>3282.8399999999901</v>
      </c>
      <c r="F577">
        <v>55</v>
      </c>
    </row>
    <row r="578" spans="1:6" x14ac:dyDescent="0.2">
      <c r="A578" t="s">
        <v>15</v>
      </c>
      <c r="B578" t="s">
        <v>10</v>
      </c>
      <c r="C578">
        <v>5314.58</v>
      </c>
      <c r="D578">
        <v>1328.64</v>
      </c>
      <c r="E578">
        <v>3985.9399999999901</v>
      </c>
      <c r="F578">
        <v>25</v>
      </c>
    </row>
    <row r="579" spans="1:6" x14ac:dyDescent="0.2">
      <c r="A579" t="s">
        <v>15</v>
      </c>
      <c r="B579" t="s">
        <v>9</v>
      </c>
      <c r="C579">
        <v>16005.21</v>
      </c>
      <c r="D579">
        <v>13604.43</v>
      </c>
      <c r="E579">
        <v>2400.7799999999902</v>
      </c>
      <c r="F579">
        <v>85</v>
      </c>
    </row>
    <row r="580" spans="1:6" x14ac:dyDescent="0.2">
      <c r="A580" t="s">
        <v>15</v>
      </c>
      <c r="B580" t="s">
        <v>7</v>
      </c>
      <c r="C580">
        <v>5101.1400000000003</v>
      </c>
      <c r="D580">
        <v>2805.63</v>
      </c>
      <c r="E580">
        <v>2295.5100000000002</v>
      </c>
      <c r="F580">
        <v>55</v>
      </c>
    </row>
    <row r="581" spans="1:6" x14ac:dyDescent="0.2">
      <c r="A581" t="s">
        <v>15</v>
      </c>
      <c r="B581" t="s">
        <v>9</v>
      </c>
      <c r="C581">
        <v>8281.69</v>
      </c>
      <c r="D581">
        <v>7039.44</v>
      </c>
      <c r="E581">
        <v>1242.25</v>
      </c>
      <c r="F581">
        <v>85</v>
      </c>
    </row>
    <row r="582" spans="1:6" x14ac:dyDescent="0.2">
      <c r="A582" t="s">
        <v>15</v>
      </c>
      <c r="B582" t="s">
        <v>10</v>
      </c>
      <c r="C582">
        <v>11598.58</v>
      </c>
      <c r="D582">
        <v>2899.64</v>
      </c>
      <c r="E582">
        <v>8698.94</v>
      </c>
      <c r="F582">
        <v>25</v>
      </c>
    </row>
    <row r="583" spans="1:6" x14ac:dyDescent="0.2">
      <c r="A583" t="s">
        <v>15</v>
      </c>
      <c r="B583" t="s">
        <v>9</v>
      </c>
      <c r="C583">
        <v>6238.58</v>
      </c>
      <c r="D583">
        <v>5302.79</v>
      </c>
      <c r="E583">
        <v>935.79</v>
      </c>
      <c r="F583">
        <v>85</v>
      </c>
    </row>
    <row r="584" spans="1:6" x14ac:dyDescent="0.2">
      <c r="A584" t="s">
        <v>15</v>
      </c>
      <c r="B584" t="s">
        <v>9</v>
      </c>
      <c r="C584">
        <v>11204.88</v>
      </c>
      <c r="D584">
        <v>9524.15</v>
      </c>
      <c r="E584">
        <v>1680.72999999999</v>
      </c>
      <c r="F584">
        <v>85</v>
      </c>
    </row>
    <row r="585" spans="1:6" x14ac:dyDescent="0.2">
      <c r="A585" t="s">
        <v>15</v>
      </c>
      <c r="B585" t="s">
        <v>10</v>
      </c>
      <c r="C585">
        <v>7943.17</v>
      </c>
      <c r="D585">
        <v>1985.79</v>
      </c>
      <c r="E585">
        <v>5957.38</v>
      </c>
      <c r="F585">
        <v>25</v>
      </c>
    </row>
    <row r="586" spans="1:6" x14ac:dyDescent="0.2">
      <c r="A586" t="s">
        <v>15</v>
      </c>
      <c r="B586" t="s">
        <v>8</v>
      </c>
      <c r="C586">
        <v>10971.4</v>
      </c>
      <c r="D586">
        <v>7131.41</v>
      </c>
      <c r="E586">
        <v>3839.99</v>
      </c>
      <c r="F586">
        <v>65</v>
      </c>
    </row>
    <row r="587" spans="1:6" x14ac:dyDescent="0.2">
      <c r="A587" t="s">
        <v>15</v>
      </c>
      <c r="B587" t="s">
        <v>7</v>
      </c>
      <c r="C587">
        <v>9125.5300000000007</v>
      </c>
      <c r="D587">
        <v>5019.04</v>
      </c>
      <c r="E587">
        <v>4106.49</v>
      </c>
      <c r="F587">
        <v>55</v>
      </c>
    </row>
    <row r="588" spans="1:6" x14ac:dyDescent="0.2">
      <c r="A588" t="s">
        <v>15</v>
      </c>
      <c r="B588" t="s">
        <v>8</v>
      </c>
      <c r="C588">
        <v>9529.81</v>
      </c>
      <c r="D588">
        <v>6194.38</v>
      </c>
      <c r="E588">
        <v>3335.4299999999898</v>
      </c>
      <c r="F588">
        <v>65</v>
      </c>
    </row>
    <row r="589" spans="1:6" x14ac:dyDescent="0.2">
      <c r="A589" t="s">
        <v>15</v>
      </c>
      <c r="B589" t="s">
        <v>7</v>
      </c>
      <c r="C589">
        <v>13187.2</v>
      </c>
      <c r="D589">
        <v>7252.96</v>
      </c>
      <c r="E589">
        <v>5934.24</v>
      </c>
      <c r="F589">
        <v>55</v>
      </c>
    </row>
    <row r="590" spans="1:6" x14ac:dyDescent="0.2">
      <c r="A590" t="s">
        <v>15</v>
      </c>
      <c r="B590" t="s">
        <v>7</v>
      </c>
      <c r="C590">
        <v>6533.3</v>
      </c>
      <c r="D590">
        <v>3593.32</v>
      </c>
      <c r="E590">
        <v>2939.98</v>
      </c>
      <c r="F590">
        <v>55</v>
      </c>
    </row>
    <row r="591" spans="1:6" x14ac:dyDescent="0.2">
      <c r="A591" t="s">
        <v>15</v>
      </c>
      <c r="B591" t="s">
        <v>7</v>
      </c>
      <c r="C591">
        <v>10957.67</v>
      </c>
      <c r="D591">
        <v>6026.72</v>
      </c>
      <c r="E591">
        <v>4930.95</v>
      </c>
      <c r="F591">
        <v>55</v>
      </c>
    </row>
    <row r="592" spans="1:6" x14ac:dyDescent="0.2">
      <c r="A592" t="s">
        <v>15</v>
      </c>
      <c r="B592" t="s">
        <v>10</v>
      </c>
      <c r="C592">
        <v>12421.88</v>
      </c>
      <c r="D592">
        <v>3105.47</v>
      </c>
      <c r="E592">
        <v>9316.41</v>
      </c>
      <c r="F592">
        <v>25</v>
      </c>
    </row>
    <row r="593" spans="1:6" x14ac:dyDescent="0.2">
      <c r="A593" t="s">
        <v>15</v>
      </c>
      <c r="B593" t="s">
        <v>8</v>
      </c>
      <c r="C593">
        <v>6262.7</v>
      </c>
      <c r="D593">
        <v>4070.76</v>
      </c>
      <c r="E593">
        <v>2191.9399999999901</v>
      </c>
      <c r="F593">
        <v>65</v>
      </c>
    </row>
    <row r="594" spans="1:6" x14ac:dyDescent="0.2">
      <c r="A594" t="s">
        <v>15</v>
      </c>
      <c r="B594" t="s">
        <v>9</v>
      </c>
      <c r="C594">
        <v>5332.3</v>
      </c>
      <c r="D594">
        <v>4532.45</v>
      </c>
      <c r="E594">
        <v>799.85</v>
      </c>
      <c r="F594">
        <v>85</v>
      </c>
    </row>
    <row r="595" spans="1:6" x14ac:dyDescent="0.2">
      <c r="A595" t="s">
        <v>15</v>
      </c>
      <c r="B595" t="s">
        <v>8</v>
      </c>
      <c r="C595">
        <v>9182.81</v>
      </c>
      <c r="D595">
        <v>5968.83</v>
      </c>
      <c r="E595">
        <v>3213.97999999999</v>
      </c>
      <c r="F595">
        <v>65</v>
      </c>
    </row>
    <row r="596" spans="1:6" x14ac:dyDescent="0.2">
      <c r="A596" t="s">
        <v>15</v>
      </c>
      <c r="B596" t="s">
        <v>8</v>
      </c>
      <c r="C596">
        <v>3714.53</v>
      </c>
      <c r="D596">
        <v>2414.44</v>
      </c>
      <c r="E596">
        <v>1300.0899999999999</v>
      </c>
      <c r="F596">
        <v>65</v>
      </c>
    </row>
    <row r="597" spans="1:6" x14ac:dyDescent="0.2">
      <c r="A597" t="s">
        <v>15</v>
      </c>
      <c r="B597" t="s">
        <v>9</v>
      </c>
      <c r="C597">
        <v>10762.52</v>
      </c>
      <c r="D597">
        <v>9148.14</v>
      </c>
      <c r="E597">
        <v>1614.38</v>
      </c>
      <c r="F597">
        <v>85</v>
      </c>
    </row>
    <row r="598" spans="1:6" x14ac:dyDescent="0.2">
      <c r="A598" t="s">
        <v>15</v>
      </c>
      <c r="B598" t="s">
        <v>7</v>
      </c>
      <c r="C598">
        <v>11946.77</v>
      </c>
      <c r="D598">
        <v>6570.72</v>
      </c>
      <c r="E598">
        <v>5376.05</v>
      </c>
      <c r="F598">
        <v>55</v>
      </c>
    </row>
    <row r="599" spans="1:6" x14ac:dyDescent="0.2">
      <c r="A599" t="s">
        <v>15</v>
      </c>
      <c r="B599" t="s">
        <v>9</v>
      </c>
      <c r="C599">
        <v>5824.01</v>
      </c>
      <c r="D599">
        <v>4950.41</v>
      </c>
      <c r="E599">
        <v>873.6</v>
      </c>
      <c r="F599">
        <v>85</v>
      </c>
    </row>
    <row r="600" spans="1:6" x14ac:dyDescent="0.2">
      <c r="A600" t="s">
        <v>15</v>
      </c>
      <c r="B600" t="s">
        <v>8</v>
      </c>
      <c r="C600">
        <v>12541.24</v>
      </c>
      <c r="D600">
        <v>8151.81</v>
      </c>
      <c r="E600">
        <v>4389.4299999999903</v>
      </c>
      <c r="F600">
        <v>65</v>
      </c>
    </row>
    <row r="601" spans="1:6" x14ac:dyDescent="0.2">
      <c r="A601" t="s">
        <v>15</v>
      </c>
      <c r="B601" t="s">
        <v>7</v>
      </c>
      <c r="C601">
        <v>13667.5</v>
      </c>
      <c r="D601">
        <v>7517.13</v>
      </c>
      <c r="E601">
        <v>6150.37</v>
      </c>
      <c r="F601">
        <v>55</v>
      </c>
    </row>
  </sheetData>
  <autoFilter ref="A1:A601" xr:uid="{D0172FC2-4002-8C43-902C-1320DB33200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7463-2CC1-5747-945A-984CEF9B314E}">
  <sheetPr codeName="Sheet2"/>
  <dimension ref="A1:B7"/>
  <sheetViews>
    <sheetView workbookViewId="0">
      <selection activeCell="B8" sqref="B8"/>
    </sheetView>
  </sheetViews>
  <sheetFormatPr baseColWidth="10" defaultColWidth="17.83203125" defaultRowHeight="16" x14ac:dyDescent="0.2"/>
  <sheetData>
    <row r="1" spans="1:2" x14ac:dyDescent="0.2">
      <c r="A1" s="2" t="s">
        <v>0</v>
      </c>
      <c r="B1" s="2" t="s">
        <v>16</v>
      </c>
    </row>
    <row r="2" spans="1:2" x14ac:dyDescent="0.2">
      <c r="A2" t="s">
        <v>11</v>
      </c>
      <c r="B2">
        <v>3200</v>
      </c>
    </row>
    <row r="3" spans="1:2" x14ac:dyDescent="0.2">
      <c r="A3" t="s">
        <v>6</v>
      </c>
      <c r="B3">
        <v>1500</v>
      </c>
    </row>
    <row r="4" spans="1:2" x14ac:dyDescent="0.2">
      <c r="A4" t="s">
        <v>15</v>
      </c>
      <c r="B4">
        <v>4800</v>
      </c>
    </row>
    <row r="5" spans="1:2" x14ac:dyDescent="0.2">
      <c r="A5" t="s">
        <v>13</v>
      </c>
      <c r="B5">
        <v>3800</v>
      </c>
    </row>
    <row r="6" spans="1:2" x14ac:dyDescent="0.2">
      <c r="A6" t="s">
        <v>12</v>
      </c>
      <c r="B6">
        <v>4600</v>
      </c>
    </row>
    <row r="7" spans="1:2" x14ac:dyDescent="0.2">
      <c r="A7" t="s">
        <v>14</v>
      </c>
      <c r="B7">
        <v>2200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9B67-AA51-4247-99DE-B26CACD25AE1}">
  <sheetPr codeName="Sheet3"/>
  <dimension ref="A3:E32"/>
  <sheetViews>
    <sheetView workbookViewId="0">
      <selection activeCell="E39" sqref="E39"/>
    </sheetView>
  </sheetViews>
  <sheetFormatPr baseColWidth="10" defaultRowHeight="16" x14ac:dyDescent="0.2"/>
  <cols>
    <col min="1" max="1" width="17.1640625" bestFit="1" customWidth="1"/>
    <col min="2" max="3" width="12.1640625" bestFit="1" customWidth="1"/>
    <col min="4" max="4" width="14.83203125" bestFit="1" customWidth="1"/>
    <col min="5" max="5" width="17.33203125" bestFit="1" customWidth="1"/>
  </cols>
  <sheetData>
    <row r="3" spans="1:5" x14ac:dyDescent="0.2">
      <c r="A3" s="3" t="s">
        <v>17</v>
      </c>
      <c r="B3" t="s">
        <v>19</v>
      </c>
      <c r="C3" t="s">
        <v>20</v>
      </c>
      <c r="D3" t="s">
        <v>21</v>
      </c>
      <c r="E3" s="8" t="s">
        <v>22</v>
      </c>
    </row>
    <row r="4" spans="1:5" x14ac:dyDescent="0.2">
      <c r="A4" s="4" t="s">
        <v>7</v>
      </c>
      <c r="B4" s="6">
        <v>9855.0597272727227</v>
      </c>
      <c r="C4" s="6">
        <v>5420.2829090909072</v>
      </c>
      <c r="D4" s="6">
        <v>110</v>
      </c>
      <c r="E4" s="7">
        <f>C4/B4</f>
        <v>0.55000000599599708</v>
      </c>
    </row>
    <row r="5" spans="1:5" x14ac:dyDescent="0.2">
      <c r="A5" s="5" t="s">
        <v>11</v>
      </c>
      <c r="B5" s="6">
        <v>10233.158823529411</v>
      </c>
      <c r="C5" s="6">
        <v>5628.237058823529</v>
      </c>
      <c r="D5" s="6">
        <v>17</v>
      </c>
      <c r="E5" s="7">
        <f t="shared" ref="E5:E31" si="0">C5/B5</f>
        <v>0.54999997125837174</v>
      </c>
    </row>
    <row r="6" spans="1:5" x14ac:dyDescent="0.2">
      <c r="A6" s="5" t="s">
        <v>6</v>
      </c>
      <c r="B6" s="6">
        <v>9981.7437499999996</v>
      </c>
      <c r="C6" s="6">
        <v>5489.9593750000004</v>
      </c>
      <c r="D6" s="6">
        <v>16</v>
      </c>
      <c r="E6" s="7">
        <f t="shared" si="0"/>
        <v>0.55000003130715513</v>
      </c>
    </row>
    <row r="7" spans="1:5" x14ac:dyDescent="0.2">
      <c r="A7" s="5" t="s">
        <v>15</v>
      </c>
      <c r="B7" s="6">
        <v>9444.0205555555549</v>
      </c>
      <c r="C7" s="6">
        <v>5194.211666666667</v>
      </c>
      <c r="D7" s="6">
        <v>18</v>
      </c>
      <c r="E7" s="7">
        <f t="shared" si="0"/>
        <v>0.55000003823701038</v>
      </c>
    </row>
    <row r="8" spans="1:5" x14ac:dyDescent="0.2">
      <c r="A8" s="5" t="s">
        <v>13</v>
      </c>
      <c r="B8" s="6">
        <v>10582.127272727272</v>
      </c>
      <c r="C8" s="6">
        <v>5820.1709090909098</v>
      </c>
      <c r="D8" s="6">
        <v>22</v>
      </c>
      <c r="E8" s="7">
        <f t="shared" si="0"/>
        <v>0.55000008590814375</v>
      </c>
    </row>
    <row r="9" spans="1:5" x14ac:dyDescent="0.2">
      <c r="A9" s="5" t="s">
        <v>12</v>
      </c>
      <c r="B9" s="6">
        <v>9563.23</v>
      </c>
      <c r="C9" s="6">
        <v>5259.7760869565218</v>
      </c>
      <c r="D9" s="6">
        <v>23</v>
      </c>
      <c r="E9" s="7">
        <f t="shared" si="0"/>
        <v>0.54999995680920799</v>
      </c>
    </row>
    <row r="10" spans="1:5" x14ac:dyDescent="0.2">
      <c r="A10" s="5" t="s">
        <v>14</v>
      </c>
      <c r="B10" s="6">
        <v>9116.5364285714295</v>
      </c>
      <c r="C10" s="6">
        <v>5014.0942857142854</v>
      </c>
      <c r="D10" s="6">
        <v>14</v>
      </c>
      <c r="E10" s="7">
        <f t="shared" si="0"/>
        <v>0.54999991773191426</v>
      </c>
    </row>
    <row r="11" spans="1:5" x14ac:dyDescent="0.2">
      <c r="A11" s="4" t="s">
        <v>8</v>
      </c>
      <c r="B11" s="6">
        <v>10214.336036036029</v>
      </c>
      <c r="C11" s="6">
        <v>6639.3187837837859</v>
      </c>
      <c r="D11" s="6">
        <v>222</v>
      </c>
      <c r="E11" s="7">
        <f t="shared" si="0"/>
        <v>0.65000003527986205</v>
      </c>
    </row>
    <row r="12" spans="1:5" x14ac:dyDescent="0.2">
      <c r="A12" s="5" t="s">
        <v>11</v>
      </c>
      <c r="B12" s="6">
        <v>11399.12548387097</v>
      </c>
      <c r="C12" s="6">
        <v>7409.4319354838708</v>
      </c>
      <c r="D12" s="6">
        <v>31</v>
      </c>
      <c r="E12" s="7">
        <f t="shared" si="0"/>
        <v>0.65000003254352634</v>
      </c>
    </row>
    <row r="13" spans="1:5" x14ac:dyDescent="0.2">
      <c r="A13" s="5" t="s">
        <v>6</v>
      </c>
      <c r="B13" s="6">
        <v>10306.470612244899</v>
      </c>
      <c r="C13" s="6">
        <v>6699.206530612244</v>
      </c>
      <c r="D13" s="6">
        <v>49</v>
      </c>
      <c r="E13" s="7">
        <f t="shared" si="0"/>
        <v>0.65000006138406474</v>
      </c>
    </row>
    <row r="14" spans="1:5" x14ac:dyDescent="0.2">
      <c r="A14" s="5" t="s">
        <v>15</v>
      </c>
      <c r="B14" s="6">
        <v>10101.928181818184</v>
      </c>
      <c r="C14" s="6">
        <v>6566.2533333333331</v>
      </c>
      <c r="D14" s="6">
        <v>33</v>
      </c>
      <c r="E14" s="7">
        <f t="shared" si="0"/>
        <v>0.65000000149986348</v>
      </c>
    </row>
    <row r="15" spans="1:5" x14ac:dyDescent="0.2">
      <c r="A15" s="5" t="s">
        <v>13</v>
      </c>
      <c r="B15" s="6">
        <v>10394.829761904757</v>
      </c>
      <c r="C15" s="6">
        <v>6756.6397619047648</v>
      </c>
      <c r="D15" s="6">
        <v>42</v>
      </c>
      <c r="E15" s="7">
        <f t="shared" si="0"/>
        <v>0.65000004008403045</v>
      </c>
    </row>
    <row r="16" spans="1:5" x14ac:dyDescent="0.2">
      <c r="A16" s="5" t="s">
        <v>12</v>
      </c>
      <c r="B16" s="6">
        <v>9546.0162500000042</v>
      </c>
      <c r="C16" s="6">
        <v>6204.9106250000004</v>
      </c>
      <c r="D16" s="6">
        <v>32</v>
      </c>
      <c r="E16" s="7">
        <f t="shared" si="0"/>
        <v>0.65000000654723356</v>
      </c>
    </row>
    <row r="17" spans="1:5" x14ac:dyDescent="0.2">
      <c r="A17" s="5" t="s">
        <v>14</v>
      </c>
      <c r="B17" s="6">
        <v>9536.3900000000012</v>
      </c>
      <c r="C17" s="6">
        <v>6198.6539999999986</v>
      </c>
      <c r="D17" s="6">
        <v>35</v>
      </c>
      <c r="E17" s="7">
        <f t="shared" si="0"/>
        <v>0.65000005243074144</v>
      </c>
    </row>
    <row r="18" spans="1:5" x14ac:dyDescent="0.2">
      <c r="A18" s="4" t="s">
        <v>9</v>
      </c>
      <c r="B18" s="6">
        <v>9947.2190566037771</v>
      </c>
      <c r="C18" s="6">
        <v>8455.1361792452826</v>
      </c>
      <c r="D18" s="6">
        <v>212</v>
      </c>
      <c r="E18" s="7">
        <f t="shared" si="0"/>
        <v>0.84999999810319571</v>
      </c>
    </row>
    <row r="19" spans="1:5" x14ac:dyDescent="0.2">
      <c r="A19" s="5" t="s">
        <v>11</v>
      </c>
      <c r="B19" s="6">
        <v>10212.199473684212</v>
      </c>
      <c r="C19" s="6">
        <v>8680.3697368421072</v>
      </c>
      <c r="D19" s="6">
        <v>38</v>
      </c>
      <c r="E19" s="7">
        <f t="shared" si="0"/>
        <v>0.8500000180382814</v>
      </c>
    </row>
    <row r="20" spans="1:5" x14ac:dyDescent="0.2">
      <c r="A20" s="5" t="s">
        <v>6</v>
      </c>
      <c r="B20" s="6">
        <v>9872.9665517241374</v>
      </c>
      <c r="C20" s="6">
        <v>8392.0203448275879</v>
      </c>
      <c r="D20" s="6">
        <v>29</v>
      </c>
      <c r="E20" s="7">
        <f t="shared" si="0"/>
        <v>0.8499998760111338</v>
      </c>
    </row>
    <row r="21" spans="1:5" x14ac:dyDescent="0.2">
      <c r="A21" s="5" t="s">
        <v>15</v>
      </c>
      <c r="B21" s="6">
        <v>10061.833783783783</v>
      </c>
      <c r="C21" s="6">
        <v>8552.5589189189195</v>
      </c>
      <c r="D21" s="6">
        <v>37</v>
      </c>
      <c r="E21" s="7">
        <f t="shared" si="0"/>
        <v>0.85000002014570197</v>
      </c>
    </row>
    <row r="22" spans="1:5" x14ac:dyDescent="0.2">
      <c r="A22" s="5" t="s">
        <v>13</v>
      </c>
      <c r="B22" s="6">
        <v>10078.212333333331</v>
      </c>
      <c r="C22" s="6">
        <v>8566.4806666666645</v>
      </c>
      <c r="D22" s="6">
        <v>30</v>
      </c>
      <c r="E22" s="7">
        <f t="shared" si="0"/>
        <v>0.85000001819105686</v>
      </c>
    </row>
    <row r="23" spans="1:5" x14ac:dyDescent="0.2">
      <c r="A23" s="5" t="s">
        <v>12</v>
      </c>
      <c r="B23" s="6">
        <v>9664.7345714285693</v>
      </c>
      <c r="C23" s="6">
        <v>8215.0248571428565</v>
      </c>
      <c r="D23" s="6">
        <v>35</v>
      </c>
      <c r="E23" s="7">
        <f t="shared" si="0"/>
        <v>0.85000004877822244</v>
      </c>
    </row>
    <row r="24" spans="1:5" x14ac:dyDescent="0.2">
      <c r="A24" s="5" t="s">
        <v>14</v>
      </c>
      <c r="B24" s="6">
        <v>9803.0441860465126</v>
      </c>
      <c r="C24" s="6">
        <v>8332.5874418604635</v>
      </c>
      <c r="D24" s="6">
        <v>43</v>
      </c>
      <c r="E24" s="7">
        <f t="shared" si="0"/>
        <v>0.84999998813847311</v>
      </c>
    </row>
    <row r="25" spans="1:5" x14ac:dyDescent="0.2">
      <c r="A25" s="4" t="s">
        <v>10</v>
      </c>
      <c r="B25" s="6">
        <v>10278.503571428573</v>
      </c>
      <c r="C25" s="6">
        <v>2569.6262500000003</v>
      </c>
      <c r="D25" s="6">
        <v>56</v>
      </c>
      <c r="E25" s="7">
        <f t="shared" si="0"/>
        <v>0.250000034746581</v>
      </c>
    </row>
    <row r="26" spans="1:5" x14ac:dyDescent="0.2">
      <c r="A26" s="5" t="s">
        <v>11</v>
      </c>
      <c r="B26" s="6">
        <v>9360.2871428571434</v>
      </c>
      <c r="C26" s="6">
        <v>2340.0728571428567</v>
      </c>
      <c r="D26" s="6">
        <v>14</v>
      </c>
      <c r="E26" s="7">
        <f t="shared" si="0"/>
        <v>0.25000011446535286</v>
      </c>
    </row>
    <row r="27" spans="1:5" x14ac:dyDescent="0.2">
      <c r="A27" s="5" t="s">
        <v>6</v>
      </c>
      <c r="B27" s="6">
        <v>11226.418333333333</v>
      </c>
      <c r="C27" s="6">
        <v>2806.6066666666666</v>
      </c>
      <c r="D27" s="6">
        <v>6</v>
      </c>
      <c r="E27" s="7">
        <f t="shared" si="0"/>
        <v>0.25000018557417614</v>
      </c>
    </row>
    <row r="28" spans="1:5" x14ac:dyDescent="0.2">
      <c r="A28" s="5" t="s">
        <v>15</v>
      </c>
      <c r="B28" s="6">
        <v>9899.6391666666677</v>
      </c>
      <c r="C28" s="6">
        <v>2474.9091666666668</v>
      </c>
      <c r="D28" s="6">
        <v>12</v>
      </c>
      <c r="E28" s="7">
        <f t="shared" si="0"/>
        <v>0.24999993686638577</v>
      </c>
    </row>
    <row r="29" spans="1:5" x14ac:dyDescent="0.2">
      <c r="A29" s="5" t="s">
        <v>13</v>
      </c>
      <c r="B29" s="6">
        <v>9088.4216666666671</v>
      </c>
      <c r="C29" s="6">
        <v>2272.105</v>
      </c>
      <c r="D29" s="6">
        <v>6</v>
      </c>
      <c r="E29" s="7">
        <f t="shared" si="0"/>
        <v>0.24999995415412246</v>
      </c>
    </row>
    <row r="30" spans="1:5" x14ac:dyDescent="0.2">
      <c r="A30" s="5" t="s">
        <v>12</v>
      </c>
      <c r="B30" s="6">
        <v>11105.101999999999</v>
      </c>
      <c r="C30" s="6">
        <v>2776.2759999999994</v>
      </c>
      <c r="D30" s="6">
        <v>10</v>
      </c>
      <c r="E30" s="7">
        <f t="shared" si="0"/>
        <v>0.25000004502435003</v>
      </c>
    </row>
    <row r="31" spans="1:5" x14ac:dyDescent="0.2">
      <c r="A31" s="5" t="s">
        <v>14</v>
      </c>
      <c r="B31" s="6">
        <v>11602.056250000001</v>
      </c>
      <c r="C31" s="6">
        <v>2900.5137500000001</v>
      </c>
      <c r="D31" s="6">
        <v>8</v>
      </c>
      <c r="E31" s="7">
        <f t="shared" si="0"/>
        <v>0.24999997306511937</v>
      </c>
    </row>
    <row r="32" spans="1:5" x14ac:dyDescent="0.2">
      <c r="A32" s="4" t="s">
        <v>18</v>
      </c>
      <c r="B32" s="6">
        <v>10060.076349999999</v>
      </c>
      <c r="C32" s="6">
        <v>6677.5797166666698</v>
      </c>
      <c r="D32" s="6">
        <v>600</v>
      </c>
      <c r="E32" s="9">
        <f xml:space="preserve"> C32 / B32</f>
        <v>0.66377028208803512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E24D-E756-4144-80FC-2EA9A9D74AC4}">
  <sheetPr codeName="Sheet4"/>
  <dimension ref="A1:I26"/>
  <sheetViews>
    <sheetView tabSelected="1" workbookViewId="0">
      <pane ySplit="1" topLeftCell="A2" activePane="bottomLeft" state="frozen"/>
      <selection pane="bottomLeft" activeCell="F38" sqref="F38"/>
    </sheetView>
  </sheetViews>
  <sheetFormatPr baseColWidth="10" defaultColWidth="15.83203125" defaultRowHeight="16" x14ac:dyDescent="0.2"/>
  <cols>
    <col min="7" max="8" width="15.83203125" style="12"/>
    <col min="9" max="9" width="20.83203125" style="10" customWidth="1"/>
  </cols>
  <sheetData>
    <row r="1" spans="1:9" x14ac:dyDescent="0.2">
      <c r="A1" s="13" t="s">
        <v>0</v>
      </c>
      <c r="B1" s="13" t="s">
        <v>1</v>
      </c>
      <c r="C1" s="13" t="s">
        <v>23</v>
      </c>
      <c r="D1" s="19" t="s">
        <v>19</v>
      </c>
      <c r="E1" s="19" t="s">
        <v>20</v>
      </c>
      <c r="F1" s="20" t="s">
        <v>24</v>
      </c>
      <c r="G1" s="20" t="s">
        <v>25</v>
      </c>
      <c r="H1" s="20" t="s">
        <v>26</v>
      </c>
      <c r="I1" s="21" t="s">
        <v>27</v>
      </c>
    </row>
    <row r="2" spans="1:9" x14ac:dyDescent="0.2">
      <c r="A2" t="s">
        <v>11</v>
      </c>
      <c r="B2" t="s">
        <v>7</v>
      </c>
      <c r="C2">
        <v>17</v>
      </c>
      <c r="D2" s="12">
        <v>10233.16</v>
      </c>
      <c r="E2" s="12">
        <v>5628.24</v>
      </c>
      <c r="F2" s="12">
        <f>VLOOKUP(A2, 'Cost Assumptions'!$A$2:$B$7, 2, FALSE)</f>
        <v>3200</v>
      </c>
      <c r="G2" s="11">
        <f>E2 * C2</f>
        <v>95680.08</v>
      </c>
      <c r="H2" s="12">
        <f>F2 * C2</f>
        <v>54400</v>
      </c>
      <c r="I2" s="10">
        <f>(G2 - H2) / G2</f>
        <v>0.4314386024760849</v>
      </c>
    </row>
    <row r="3" spans="1:9" x14ac:dyDescent="0.2">
      <c r="A3" t="s">
        <v>11</v>
      </c>
      <c r="B3" t="s">
        <v>8</v>
      </c>
      <c r="C3">
        <v>31</v>
      </c>
      <c r="D3" s="12">
        <v>11399.13</v>
      </c>
      <c r="E3" s="12">
        <v>7409.43</v>
      </c>
      <c r="F3" s="12">
        <f>VLOOKUP(A3, 'Cost Assumptions'!$A$2:$B$7, 2, FALSE)</f>
        <v>3200</v>
      </c>
      <c r="G3" s="11">
        <f t="shared" ref="G3:G25" si="0">E3 * C3</f>
        <v>229692.33000000002</v>
      </c>
      <c r="H3" s="12">
        <f t="shared" ref="H3:H25" si="1">F3 * C3</f>
        <v>99200</v>
      </c>
      <c r="I3" s="10">
        <f t="shared" ref="I3:I25" si="2">(G3 - H3) / G3</f>
        <v>0.56811792540046946</v>
      </c>
    </row>
    <row r="4" spans="1:9" x14ac:dyDescent="0.2">
      <c r="A4" t="s">
        <v>11</v>
      </c>
      <c r="B4" t="s">
        <v>9</v>
      </c>
      <c r="C4">
        <v>38</v>
      </c>
      <c r="D4" s="12">
        <v>10212.200000000001</v>
      </c>
      <c r="E4" s="12">
        <v>8680.3700000000008</v>
      </c>
      <c r="F4" s="12">
        <f>VLOOKUP(A4, 'Cost Assumptions'!$A$2:$B$7, 2, FALSE)</f>
        <v>3200</v>
      </c>
      <c r="G4" s="11">
        <f t="shared" si="0"/>
        <v>329854.06000000006</v>
      </c>
      <c r="H4" s="12">
        <f t="shared" si="1"/>
        <v>121600</v>
      </c>
      <c r="I4" s="10">
        <f t="shared" si="2"/>
        <v>0.6313521197829125</v>
      </c>
    </row>
    <row r="5" spans="1:9" x14ac:dyDescent="0.2">
      <c r="A5" t="s">
        <v>11</v>
      </c>
      <c r="B5" t="s">
        <v>10</v>
      </c>
      <c r="C5">
        <v>14</v>
      </c>
      <c r="D5" s="12">
        <v>9360.2900000000009</v>
      </c>
      <c r="E5" s="12">
        <v>2340.0700000000002</v>
      </c>
      <c r="F5" s="12">
        <f>VLOOKUP(A5, 'Cost Assumptions'!$A$2:$B$7, 2, FALSE)</f>
        <v>3200</v>
      </c>
      <c r="G5" s="11">
        <f t="shared" si="0"/>
        <v>32760.980000000003</v>
      </c>
      <c r="H5" s="12">
        <f t="shared" si="1"/>
        <v>44800</v>
      </c>
      <c r="I5" s="10">
        <f t="shared" si="2"/>
        <v>-0.36748045998623957</v>
      </c>
    </row>
    <row r="6" spans="1:9" x14ac:dyDescent="0.2">
      <c r="A6" t="s">
        <v>6</v>
      </c>
      <c r="B6" t="s">
        <v>7</v>
      </c>
      <c r="C6">
        <v>16</v>
      </c>
      <c r="D6" s="12">
        <v>9981.74</v>
      </c>
      <c r="E6" s="12">
        <v>5489.96</v>
      </c>
      <c r="F6" s="12">
        <f>VLOOKUP(A6, 'Cost Assumptions'!$A$2:$B$7, 2, FALSE)</f>
        <v>1500</v>
      </c>
      <c r="G6" s="11">
        <f t="shared" si="0"/>
        <v>87839.360000000001</v>
      </c>
      <c r="H6" s="12">
        <f t="shared" si="1"/>
        <v>24000</v>
      </c>
      <c r="I6" s="10">
        <f t="shared" si="2"/>
        <v>0.72677396556623364</v>
      </c>
    </row>
    <row r="7" spans="1:9" x14ac:dyDescent="0.2">
      <c r="A7" t="s">
        <v>6</v>
      </c>
      <c r="B7" t="s">
        <v>8</v>
      </c>
      <c r="C7">
        <v>49</v>
      </c>
      <c r="D7" s="12">
        <v>10306.469999999999</v>
      </c>
      <c r="E7" s="12">
        <v>6699.21</v>
      </c>
      <c r="F7" s="12">
        <f>VLOOKUP(A7, 'Cost Assumptions'!$A$2:$B$7, 2, FALSE)</f>
        <v>1500</v>
      </c>
      <c r="G7" s="11">
        <f t="shared" si="0"/>
        <v>328261.28999999998</v>
      </c>
      <c r="H7" s="12">
        <f t="shared" si="1"/>
        <v>73500</v>
      </c>
      <c r="I7" s="10">
        <f t="shared" si="2"/>
        <v>0.77609300201068487</v>
      </c>
    </row>
    <row r="8" spans="1:9" x14ac:dyDescent="0.2">
      <c r="A8" t="s">
        <v>6</v>
      </c>
      <c r="B8" t="s">
        <v>9</v>
      </c>
      <c r="C8">
        <v>29</v>
      </c>
      <c r="D8" s="12">
        <v>9872.9699999999993</v>
      </c>
      <c r="E8" s="12">
        <v>8392.02</v>
      </c>
      <c r="F8" s="12">
        <f>VLOOKUP(A8, 'Cost Assumptions'!$A$2:$B$7, 2, FALSE)</f>
        <v>1500</v>
      </c>
      <c r="G8" s="11">
        <f t="shared" si="0"/>
        <v>243368.58000000002</v>
      </c>
      <c r="H8" s="12">
        <f t="shared" si="1"/>
        <v>43500</v>
      </c>
      <c r="I8" s="10">
        <f t="shared" si="2"/>
        <v>0.82125876725746605</v>
      </c>
    </row>
    <row r="9" spans="1:9" x14ac:dyDescent="0.2">
      <c r="A9" t="s">
        <v>6</v>
      </c>
      <c r="B9" t="s">
        <v>10</v>
      </c>
      <c r="C9">
        <v>6</v>
      </c>
      <c r="D9" s="12">
        <v>11226.42</v>
      </c>
      <c r="E9" s="12">
        <v>2806.61</v>
      </c>
      <c r="F9" s="12">
        <f>VLOOKUP(A9, 'Cost Assumptions'!$A$2:$B$7, 2, FALSE)</f>
        <v>1500</v>
      </c>
      <c r="G9" s="11">
        <f t="shared" si="0"/>
        <v>16839.66</v>
      </c>
      <c r="H9" s="12">
        <f t="shared" si="1"/>
        <v>9000</v>
      </c>
      <c r="I9" s="10">
        <f t="shared" si="2"/>
        <v>0.46554740416374202</v>
      </c>
    </row>
    <row r="10" spans="1:9" x14ac:dyDescent="0.2">
      <c r="A10" t="s">
        <v>15</v>
      </c>
      <c r="B10" t="s">
        <v>7</v>
      </c>
      <c r="C10">
        <v>18</v>
      </c>
      <c r="D10" s="12">
        <v>9444.02</v>
      </c>
      <c r="E10" s="12">
        <v>5194.21</v>
      </c>
      <c r="F10" s="12">
        <f>VLOOKUP(A10, 'Cost Assumptions'!$A$2:$B$7, 2, FALSE)</f>
        <v>4800</v>
      </c>
      <c r="G10" s="11">
        <f t="shared" si="0"/>
        <v>93495.78</v>
      </c>
      <c r="H10" s="12">
        <f t="shared" si="1"/>
        <v>86400</v>
      </c>
      <c r="I10" s="10">
        <f t="shared" si="2"/>
        <v>7.589412056886416E-2</v>
      </c>
    </row>
    <row r="11" spans="1:9" x14ac:dyDescent="0.2">
      <c r="A11" t="s">
        <v>15</v>
      </c>
      <c r="B11" t="s">
        <v>8</v>
      </c>
      <c r="C11">
        <v>33</v>
      </c>
      <c r="D11" s="12">
        <v>10101.93</v>
      </c>
      <c r="E11" s="12">
        <v>6566.25</v>
      </c>
      <c r="F11" s="12">
        <f>VLOOKUP(A11, 'Cost Assumptions'!$A$2:$B$7, 2, FALSE)</f>
        <v>4800</v>
      </c>
      <c r="G11" s="11">
        <f t="shared" si="0"/>
        <v>216686.25</v>
      </c>
      <c r="H11" s="12">
        <f t="shared" si="1"/>
        <v>158400</v>
      </c>
      <c r="I11" s="10">
        <f t="shared" si="2"/>
        <v>0.26898914905768134</v>
      </c>
    </row>
    <row r="12" spans="1:9" x14ac:dyDescent="0.2">
      <c r="A12" t="s">
        <v>15</v>
      </c>
      <c r="B12" t="s">
        <v>9</v>
      </c>
      <c r="C12">
        <v>37</v>
      </c>
      <c r="D12" s="12">
        <v>10061.83</v>
      </c>
      <c r="E12" s="12">
        <v>8552.56</v>
      </c>
      <c r="F12" s="12">
        <f>VLOOKUP(A12, 'Cost Assumptions'!$A$2:$B$7, 2, FALSE)</f>
        <v>4800</v>
      </c>
      <c r="G12" s="11">
        <f t="shared" si="0"/>
        <v>316444.71999999997</v>
      </c>
      <c r="H12" s="12">
        <f t="shared" si="1"/>
        <v>177600</v>
      </c>
      <c r="I12" s="10">
        <f t="shared" si="2"/>
        <v>0.43876453366009704</v>
      </c>
    </row>
    <row r="13" spans="1:9" x14ac:dyDescent="0.2">
      <c r="A13" t="s">
        <v>15</v>
      </c>
      <c r="B13" t="s">
        <v>10</v>
      </c>
      <c r="C13">
        <v>12</v>
      </c>
      <c r="D13" s="12">
        <v>9899.64</v>
      </c>
      <c r="E13" s="12">
        <v>2474.91</v>
      </c>
      <c r="F13" s="12">
        <f>VLOOKUP(A13, 'Cost Assumptions'!$A$2:$B$7, 2, FALSE)</f>
        <v>4800</v>
      </c>
      <c r="G13" s="11">
        <f t="shared" si="0"/>
        <v>29698.92</v>
      </c>
      <c r="H13" s="12">
        <f t="shared" si="1"/>
        <v>57600</v>
      </c>
      <c r="I13" s="10">
        <f t="shared" si="2"/>
        <v>-0.93946446537449857</v>
      </c>
    </row>
    <row r="14" spans="1:9" x14ac:dyDescent="0.2">
      <c r="A14" t="s">
        <v>13</v>
      </c>
      <c r="B14" t="s">
        <v>7</v>
      </c>
      <c r="C14">
        <v>22</v>
      </c>
      <c r="D14" s="12">
        <v>10582.13</v>
      </c>
      <c r="E14" s="12">
        <v>5820.17</v>
      </c>
      <c r="F14" s="12">
        <f>VLOOKUP(A14, 'Cost Assumptions'!$A$2:$B$7, 2, FALSE)</f>
        <v>3800</v>
      </c>
      <c r="G14" s="11">
        <f t="shared" si="0"/>
        <v>128043.74</v>
      </c>
      <c r="H14" s="12">
        <f t="shared" si="1"/>
        <v>83600</v>
      </c>
      <c r="I14" s="10">
        <f t="shared" si="2"/>
        <v>0.34709810881812736</v>
      </c>
    </row>
    <row r="15" spans="1:9" x14ac:dyDescent="0.2">
      <c r="A15" t="s">
        <v>13</v>
      </c>
      <c r="B15" t="s">
        <v>8</v>
      </c>
      <c r="C15">
        <v>42</v>
      </c>
      <c r="D15" s="12">
        <v>10394.83</v>
      </c>
      <c r="E15" s="12">
        <v>6756.64</v>
      </c>
      <c r="F15" s="12">
        <f>VLOOKUP(A15, 'Cost Assumptions'!$A$2:$B$7, 2, FALSE)</f>
        <v>3800</v>
      </c>
      <c r="G15" s="11">
        <f t="shared" si="0"/>
        <v>283778.88</v>
      </c>
      <c r="H15" s="12">
        <f t="shared" si="1"/>
        <v>159600</v>
      </c>
      <c r="I15" s="10">
        <f t="shared" si="2"/>
        <v>0.43759028156006535</v>
      </c>
    </row>
    <row r="16" spans="1:9" x14ac:dyDescent="0.2">
      <c r="A16" t="s">
        <v>13</v>
      </c>
      <c r="B16" t="s">
        <v>9</v>
      </c>
      <c r="C16">
        <v>30</v>
      </c>
      <c r="D16" s="12">
        <v>10078.209999999999</v>
      </c>
      <c r="E16" s="12">
        <v>8566.48</v>
      </c>
      <c r="F16" s="12">
        <f>VLOOKUP(A16, 'Cost Assumptions'!$A$2:$B$7, 2, FALSE)</f>
        <v>3800</v>
      </c>
      <c r="G16" s="11">
        <f t="shared" si="0"/>
        <v>256994.4</v>
      </c>
      <c r="H16" s="12">
        <f t="shared" si="1"/>
        <v>114000</v>
      </c>
      <c r="I16" s="10">
        <f t="shared" si="2"/>
        <v>0.5564105677010861</v>
      </c>
    </row>
    <row r="17" spans="1:9" x14ac:dyDescent="0.2">
      <c r="A17" t="s">
        <v>13</v>
      </c>
      <c r="B17" t="s">
        <v>10</v>
      </c>
      <c r="C17">
        <v>6</v>
      </c>
      <c r="D17" s="12">
        <v>9088.42</v>
      </c>
      <c r="E17" s="12">
        <v>2272.1</v>
      </c>
      <c r="F17" s="12">
        <f>VLOOKUP(A17, 'Cost Assumptions'!$A$2:$B$7, 2, FALSE)</f>
        <v>3800</v>
      </c>
      <c r="G17" s="11">
        <f t="shared" si="0"/>
        <v>13632.599999999999</v>
      </c>
      <c r="H17" s="12">
        <f t="shared" si="1"/>
        <v>22800</v>
      </c>
      <c r="I17" s="10">
        <f t="shared" si="2"/>
        <v>-0.67246159940143502</v>
      </c>
    </row>
    <row r="18" spans="1:9" x14ac:dyDescent="0.2">
      <c r="A18" t="s">
        <v>12</v>
      </c>
      <c r="B18" t="s">
        <v>7</v>
      </c>
      <c r="C18">
        <v>23</v>
      </c>
      <c r="D18" s="12">
        <v>9563.23</v>
      </c>
      <c r="E18" s="12">
        <v>5259.78</v>
      </c>
      <c r="F18" s="12">
        <f>VLOOKUP(A18, 'Cost Assumptions'!$A$2:$B$7, 2, FALSE)</f>
        <v>4600</v>
      </c>
      <c r="G18" s="11">
        <f t="shared" si="0"/>
        <v>120974.93999999999</v>
      </c>
      <c r="H18" s="12">
        <f t="shared" si="1"/>
        <v>105800</v>
      </c>
      <c r="I18" s="10">
        <f t="shared" si="2"/>
        <v>0.12543870656187131</v>
      </c>
    </row>
    <row r="19" spans="1:9" x14ac:dyDescent="0.2">
      <c r="A19" t="s">
        <v>12</v>
      </c>
      <c r="B19" t="s">
        <v>8</v>
      </c>
      <c r="C19">
        <v>32</v>
      </c>
      <c r="D19" s="12">
        <v>9546.01</v>
      </c>
      <c r="E19" s="12">
        <v>6204.91</v>
      </c>
      <c r="F19" s="12">
        <f>VLOOKUP(A19, 'Cost Assumptions'!$A$2:$B$7, 2, FALSE)</f>
        <v>4600</v>
      </c>
      <c r="G19" s="11">
        <f t="shared" si="0"/>
        <v>198557.12</v>
      </c>
      <c r="H19" s="12">
        <f t="shared" si="1"/>
        <v>147200</v>
      </c>
      <c r="I19" s="10">
        <f t="shared" si="2"/>
        <v>0.25865161622005794</v>
      </c>
    </row>
    <row r="20" spans="1:9" x14ac:dyDescent="0.2">
      <c r="A20" t="s">
        <v>12</v>
      </c>
      <c r="B20" t="s">
        <v>9</v>
      </c>
      <c r="C20">
        <v>35</v>
      </c>
      <c r="D20" s="12">
        <v>9664.73</v>
      </c>
      <c r="E20" s="12">
        <v>8215.02</v>
      </c>
      <c r="F20" s="12">
        <f>VLOOKUP(A20, 'Cost Assumptions'!$A$2:$B$7, 2, FALSE)</f>
        <v>4600</v>
      </c>
      <c r="G20" s="11">
        <f t="shared" si="0"/>
        <v>287525.7</v>
      </c>
      <c r="H20" s="12">
        <f t="shared" si="1"/>
        <v>161000</v>
      </c>
      <c r="I20" s="10">
        <f t="shared" si="2"/>
        <v>0.44005005465598379</v>
      </c>
    </row>
    <row r="21" spans="1:9" x14ac:dyDescent="0.2">
      <c r="A21" t="s">
        <v>12</v>
      </c>
      <c r="B21" t="s">
        <v>10</v>
      </c>
      <c r="C21">
        <v>10</v>
      </c>
      <c r="D21" s="12">
        <v>11105.1</v>
      </c>
      <c r="E21" s="12">
        <v>2776.28</v>
      </c>
      <c r="F21" s="12">
        <f>VLOOKUP(A21, 'Cost Assumptions'!$A$2:$B$7, 2, FALSE)</f>
        <v>4600</v>
      </c>
      <c r="G21" s="11">
        <f t="shared" si="0"/>
        <v>27762.800000000003</v>
      </c>
      <c r="H21" s="12">
        <f t="shared" si="1"/>
        <v>46000</v>
      </c>
      <c r="I21" s="10">
        <f t="shared" si="2"/>
        <v>-0.6568933969196189</v>
      </c>
    </row>
    <row r="22" spans="1:9" x14ac:dyDescent="0.2">
      <c r="A22" t="s">
        <v>14</v>
      </c>
      <c r="B22" t="s">
        <v>7</v>
      </c>
      <c r="C22">
        <v>14</v>
      </c>
      <c r="D22" s="12">
        <v>9116.5400000000009</v>
      </c>
      <c r="E22" s="12">
        <v>5014.09</v>
      </c>
      <c r="F22" s="12">
        <f>VLOOKUP(A22, 'Cost Assumptions'!$A$2:$B$7, 2, FALSE)</f>
        <v>2200</v>
      </c>
      <c r="G22" s="11">
        <f t="shared" si="0"/>
        <v>70197.260000000009</v>
      </c>
      <c r="H22" s="12">
        <f t="shared" si="1"/>
        <v>30800</v>
      </c>
      <c r="I22" s="10">
        <f t="shared" si="2"/>
        <v>0.56123643572412951</v>
      </c>
    </row>
    <row r="23" spans="1:9" x14ac:dyDescent="0.2">
      <c r="A23" t="s">
        <v>14</v>
      </c>
      <c r="B23" t="s">
        <v>8</v>
      </c>
      <c r="C23">
        <v>35</v>
      </c>
      <c r="D23" s="12">
        <v>9536.39</v>
      </c>
      <c r="E23" s="12">
        <v>6198.65</v>
      </c>
      <c r="F23" s="12">
        <f>VLOOKUP(A23, 'Cost Assumptions'!$A$2:$B$7, 2, FALSE)</f>
        <v>2200</v>
      </c>
      <c r="G23" s="11">
        <f t="shared" si="0"/>
        <v>216952.75</v>
      </c>
      <c r="H23" s="12">
        <f t="shared" si="1"/>
        <v>77000</v>
      </c>
      <c r="I23" s="10">
        <f t="shared" si="2"/>
        <v>0.64508401022803352</v>
      </c>
    </row>
    <row r="24" spans="1:9" x14ac:dyDescent="0.2">
      <c r="A24" t="s">
        <v>14</v>
      </c>
      <c r="B24" t="s">
        <v>9</v>
      </c>
      <c r="C24">
        <v>43</v>
      </c>
      <c r="D24" s="12">
        <v>9803.0400000000009</v>
      </c>
      <c r="E24" s="12">
        <v>8332.59</v>
      </c>
      <c r="F24" s="12">
        <f>VLOOKUP(A24, 'Cost Assumptions'!$A$2:$B$7, 2, FALSE)</f>
        <v>2200</v>
      </c>
      <c r="G24" s="11">
        <f t="shared" si="0"/>
        <v>358301.37</v>
      </c>
      <c r="H24" s="12">
        <f t="shared" si="1"/>
        <v>94600</v>
      </c>
      <c r="I24" s="10">
        <f t="shared" si="2"/>
        <v>0.73597644909925963</v>
      </c>
    </row>
    <row r="25" spans="1:9" x14ac:dyDescent="0.2">
      <c r="A25" t="s">
        <v>14</v>
      </c>
      <c r="B25" t="s">
        <v>10</v>
      </c>
      <c r="C25">
        <v>8</v>
      </c>
      <c r="D25" s="12">
        <v>11602.06</v>
      </c>
      <c r="E25" s="12">
        <v>2900.51</v>
      </c>
      <c r="F25" s="12">
        <f>VLOOKUP(A25, 'Cost Assumptions'!$A$2:$B$7, 2, FALSE)</f>
        <v>2200</v>
      </c>
      <c r="G25" s="11">
        <f t="shared" si="0"/>
        <v>23204.080000000002</v>
      </c>
      <c r="H25" s="12">
        <f t="shared" si="1"/>
        <v>17600</v>
      </c>
      <c r="I25" s="10">
        <f t="shared" si="2"/>
        <v>0.24151269949077928</v>
      </c>
    </row>
    <row r="26" spans="1:9" ht="17" x14ac:dyDescent="0.25">
      <c r="A26" s="13" t="s">
        <v>28</v>
      </c>
      <c r="B26" s="14"/>
      <c r="C26" s="15">
        <f>SUM(C2:C25)</f>
        <v>600</v>
      </c>
      <c r="D26" s="16"/>
      <c r="E26" s="16"/>
      <c r="F26" s="16"/>
      <c r="G26" s="17">
        <f>SUM(G2:G25)</f>
        <v>4006547.6500000004</v>
      </c>
      <c r="H26" s="17">
        <f>SUM(H2:H25)</f>
        <v>2010000</v>
      </c>
      <c r="I26" s="18">
        <f>(G26 - H26) / G26</f>
        <v>0.49832120429167992</v>
      </c>
    </row>
  </sheetData>
  <autoFilter ref="A1:I1" xr:uid="{304AE24D-E756-4144-80FC-2EA9A9D74AC4}"/>
  <conditionalFormatting sqref="J17 J26:XFD26">
    <cfRule type="cellIs" dxfId="1" priority="2" operator="lessThan">
      <formula>0</formula>
    </cfRule>
  </conditionalFormatting>
  <conditionalFormatting sqref="A1:XFD25 A27:XFD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Cost Assumptions</vt:lpstr>
      <vt:lpstr>Payer Mix Summary Table</vt:lpstr>
      <vt:lpstr>Margin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Balamurugan</dc:creator>
  <cp:lastModifiedBy>Aakash Balamurugan</cp:lastModifiedBy>
  <dcterms:created xsi:type="dcterms:W3CDTF">2025-07-14T23:53:49Z</dcterms:created>
  <dcterms:modified xsi:type="dcterms:W3CDTF">2025-07-15T01:35:59Z</dcterms:modified>
</cp:coreProperties>
</file>